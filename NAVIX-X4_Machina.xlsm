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00aa6e18044647b/ドキュメント/グライダー/"/>
    </mc:Choice>
  </mc:AlternateContent>
  <xr:revisionPtr revIDLastSave="322" documentId="8_{9278B149-1E17-CB47-A8C4-B1CCDED11A75}" xr6:coauthVersionLast="47" xr6:coauthVersionMax="47" xr10:uidLastSave="{449824EF-8FB9-024D-A63A-599E4BDF515B}"/>
  <bookViews>
    <workbookView minimized="1" xWindow="0" yWindow="460" windowWidth="25600" windowHeight="26720" activeTab="5" xr2:uid="{00000000-000D-0000-FFFF-FFFF00000000}"/>
  </bookViews>
  <sheets>
    <sheet name="使用上の注意事項" sheetId="13" r:id="rId1"/>
    <sheet name="Python読み込み用データ" sheetId="18" r:id="rId2"/>
    <sheet name="速度感度" sheetId="20" r:id="rId3"/>
    <sheet name="荷重解析" sheetId="4" r:id="rId4"/>
    <sheet name="一般構造素材物性" sheetId="5" r:id="rId5"/>
    <sheet name="主翼細分計算" sheetId="3" r:id="rId6"/>
    <sheet name="Lavender" sheetId="21" r:id="rId7"/>
    <sheet name="胴体設計" sheetId="7" r:id="rId8"/>
    <sheet name="尾翼計算" sheetId="8" r:id="rId9"/>
    <sheet name="空力安定性" sheetId="14" r:id="rId10"/>
    <sheet name="プロパティ" sheetId="1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A">[1]Base!$C$45</definedName>
    <definedName name="aa">#REF!</definedName>
    <definedName name="AF">[1]Base!$AC$32</definedName>
    <definedName name="b">[2]Base!$C$42</definedName>
    <definedName name="b_MW">[2]Base!$C$42</definedName>
    <definedName name="bHS">[1]HS!$K$3</definedName>
    <definedName name="bMW" comment="翼幅（すべて）">[1]Base!$C$44</definedName>
    <definedName name="bVT">[1]VT!$K$3</definedName>
    <definedName name="ch_ave">[3]Base!$G$20</definedName>
    <definedName name="E_0">'[4]PMD '!$F$48</definedName>
    <definedName name="E_45">'[4]PMD '!$H$48</definedName>
    <definedName name="E_90">'[4]PMD '!$J$48</definedName>
    <definedName name="E_s_0">[1]PPdata!$C$57</definedName>
    <definedName name="E_s_45">[1]PPdata!$D$57</definedName>
    <definedName name="E_s_90">[1]PPdata!$E$57</definedName>
    <definedName name="Es_0">'[4]PMD '!$F$50</definedName>
    <definedName name="Es_45">'[4]PMD '!$H$50</definedName>
    <definedName name="Es_90">'[4]PMD '!$J$50</definedName>
    <definedName name="Ex_0">[1]PPdata!$C$55</definedName>
    <definedName name="Ex_45">[1]PPdata!$D$55</definedName>
    <definedName name="Ex_90">[1]PPdata!$E$55</definedName>
    <definedName name="g">#REF!</definedName>
    <definedName name="grav">#REF!</definedName>
    <definedName name="grav_MT">[4]MTLC!$E$11</definedName>
    <definedName name="L">#REF!</definedName>
    <definedName name="L_0">[1]Base!$G$33</definedName>
    <definedName name="L_1">[1]Base!$G$34</definedName>
    <definedName name="L_2">[1]Base!$G$35</definedName>
    <definedName name="L_3">[1]Base!$G$36</definedName>
    <definedName name="L_opt">#REF!</definedName>
    <definedName name="LS_0">0</definedName>
    <definedName name="LS_1">[1]Base!$H$33</definedName>
    <definedName name="LS_2">[1]Base!$H$34</definedName>
    <definedName name="LS_3">[1]Base!$H$35</definedName>
    <definedName name="LS_4">[1]Base!$H$36</definedName>
    <definedName name="m">#REF!</definedName>
    <definedName name="m_a">#REF!</definedName>
    <definedName name="m_p">#REF!</definedName>
    <definedName name="MAC">[2]Base!$C$33</definedName>
    <definedName name="MODE">[1]Base!$B$5</definedName>
    <definedName name="nu_x_0">[1]PPdata!$C$58</definedName>
    <definedName name="nu_x_45">[1]PPdata!$D$58</definedName>
    <definedName name="nu_x_90">[1]PPdata!$E$58</definedName>
    <definedName name="nu_y_0">[1]PPdata!$C$59</definedName>
    <definedName name="nu_y_45">[1]PPdata!$D$59</definedName>
    <definedName name="nu_y_90">[1]PPdata!$E$59</definedName>
    <definedName name="PRl_0">'[4]PMD '!$F$51</definedName>
    <definedName name="PRl_45">'[4]PMD '!$H$51</definedName>
    <definedName name="PRl_90">'[4]PMD '!$J$51</definedName>
    <definedName name="PRw_0">'[4]PMD '!$F$52</definedName>
    <definedName name="PRw_45">'[4]PMD '!$H$52</definedName>
    <definedName name="PRw_90">'[4]PMD '!$J$52</definedName>
    <definedName name="Q_ss_0">'[4]PMD '!$F$40</definedName>
    <definedName name="Q_ss_45">'[4]PMD '!$H$40</definedName>
    <definedName name="Q_xx_0">'[4]PMD '!$F$37</definedName>
    <definedName name="Q_xx_45">'[4]PMD '!$H$37</definedName>
    <definedName name="Q_xy_0">'[4]PMD '!$F$39</definedName>
    <definedName name="Q_xy_45">'[4]PMD '!$H$39</definedName>
    <definedName name="Q_yy_0">'[4]PMD '!$F$38</definedName>
    <definedName name="Q_yy_45">'[4]PMD '!$H$38</definedName>
    <definedName name="rho">一般構造素材物性!$G$61</definedName>
    <definedName name="S">'[4]PMD '!$G$62</definedName>
    <definedName name="S_MW">[5]Base!$C$41</definedName>
    <definedName name="SHS">#REF!</definedName>
    <definedName name="solver_adj" localSheetId="9" hidden="1">空力安定性!$G$23:$G$25</definedName>
    <definedName name="solver_cvg" localSheetId="9" hidden="1">0.0001</definedName>
    <definedName name="solver_drv" localSheetId="9" hidden="1">2</definedName>
    <definedName name="solver_eng" localSheetId="9" hidden="1">1</definedName>
    <definedName name="solver_est" localSheetId="9" hidden="1">1</definedName>
    <definedName name="solver_itr" localSheetId="9" hidden="1">2147483647</definedName>
    <definedName name="solver_mip" localSheetId="9" hidden="1">2147483647</definedName>
    <definedName name="solver_mni" localSheetId="9" hidden="1">30</definedName>
    <definedName name="solver_mrt" localSheetId="9" hidden="1">0.075</definedName>
    <definedName name="solver_msl" localSheetId="9" hidden="1">2</definedName>
    <definedName name="solver_neg" localSheetId="9" hidden="1">1</definedName>
    <definedName name="solver_nod" localSheetId="9" hidden="1">2147483647</definedName>
    <definedName name="solver_num" localSheetId="9" hidden="1">0</definedName>
    <definedName name="solver_nwt" localSheetId="9" hidden="1">1</definedName>
    <definedName name="solver_opt" localSheetId="9" hidden="1">空力安定性!$A$27</definedName>
    <definedName name="solver_pre" localSheetId="9" hidden="1">0.000001</definedName>
    <definedName name="solver_rbv" localSheetId="9" hidden="1">2</definedName>
    <definedName name="solver_rlx" localSheetId="9" hidden="1">2</definedName>
    <definedName name="solver_rsd" localSheetId="9" hidden="1">0</definedName>
    <definedName name="solver_scl" localSheetId="9" hidden="1">2</definedName>
    <definedName name="solver_sho" localSheetId="9" hidden="1">2</definedName>
    <definedName name="solver_ssz" localSheetId="9" hidden="1">100</definedName>
    <definedName name="solver_tim" localSheetId="9" hidden="1">2147483647</definedName>
    <definedName name="solver_tol" localSheetId="9" hidden="1">0.01</definedName>
    <definedName name="solver_typ" localSheetId="9" hidden="1">1</definedName>
    <definedName name="solver_val" localSheetId="9" hidden="1">0</definedName>
    <definedName name="solver_ver" localSheetId="9" hidden="1">3</definedName>
    <definedName name="SS">[1]PPdata!$L$15</definedName>
    <definedName name="SVT">[1]VT!$K$2</definedName>
    <definedName name="tpp">'[4]PMD '!$F$23</definedName>
    <definedName name="tr">[1]Base!$Z$2</definedName>
    <definedName name="tt">[1]PPdata!$C$27</definedName>
    <definedName name="up">[1]Base!$L$61</definedName>
    <definedName name="v">#REF!</definedName>
    <definedName name="W">#REF!</definedName>
    <definedName name="wpp">'[4]PMD '!$G$56</definedName>
    <definedName name="X_c">'[4]PMD '!$G$59</definedName>
    <definedName name="y_0">[6]Base!$G$14</definedName>
    <definedName name="y_1">[6]Base!$G$15</definedName>
    <definedName name="y_2">[6]Base!$G$16</definedName>
    <definedName name="y_3">[7]Base!$I$17</definedName>
    <definedName name="Y_c">'[4]PMD '!$G$61</definedName>
    <definedName name="y_end">[8]Base!$L$17</definedName>
    <definedName name="Y_t">'[4]PMD '!$G$60</definedName>
    <definedName name="yv">#REF!</definedName>
    <definedName name="あああ">[2]Base!$C$4</definedName>
    <definedName name="かけるかず">#REF!</definedName>
    <definedName name="μ" comment="動粘性係数">[1]Base!$Q$11</definedName>
    <definedName name="ν">[2]Base!$L$10</definedName>
    <definedName name="ρ">[2]Base!$L$7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3" l="1"/>
  <c r="I1" i="3"/>
  <c r="J2" i="3"/>
  <c r="F8" i="3" l="1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7" i="3"/>
  <c r="F7" i="21"/>
  <c r="AQ3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7" i="3"/>
  <c r="G32" i="14"/>
  <c r="AN3" i="3"/>
  <c r="AK3" i="3"/>
  <c r="AP3" i="3"/>
  <c r="AP7" i="3"/>
  <c r="AJ3" i="3"/>
  <c r="AM3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7" i="3"/>
  <c r="AJ8" i="3"/>
  <c r="AJ9" i="3"/>
  <c r="AJ10" i="3"/>
  <c r="AJ11" i="3"/>
  <c r="AJ12" i="3"/>
  <c r="AJ13" i="3"/>
  <c r="AJ14" i="3"/>
  <c r="AJ15" i="3"/>
  <c r="AJ16" i="3"/>
  <c r="AJ17" i="3"/>
  <c r="AJ18" i="3"/>
  <c r="AJ19" i="3"/>
  <c r="AJ20" i="3"/>
  <c r="AJ21" i="3"/>
  <c r="AJ22" i="3"/>
  <c r="AJ23" i="3"/>
  <c r="AJ24" i="3"/>
  <c r="AJ25" i="3"/>
  <c r="AJ26" i="3"/>
  <c r="AJ27" i="3"/>
  <c r="AJ28" i="3"/>
  <c r="AJ29" i="3"/>
  <c r="AJ30" i="3"/>
  <c r="AJ31" i="3"/>
  <c r="AJ32" i="3"/>
  <c r="AJ33" i="3"/>
  <c r="AJ34" i="3"/>
  <c r="AJ35" i="3"/>
  <c r="AJ36" i="3"/>
  <c r="AJ37" i="3"/>
  <c r="AJ38" i="3"/>
  <c r="AJ39" i="3"/>
  <c r="AJ40" i="3"/>
  <c r="AJ41" i="3"/>
  <c r="AJ42" i="3"/>
  <c r="AJ43" i="3"/>
  <c r="AJ44" i="3"/>
  <c r="AJ45" i="3"/>
  <c r="AJ46" i="3"/>
  <c r="AJ47" i="3"/>
  <c r="AJ48" i="3"/>
  <c r="AJ49" i="3"/>
  <c r="AJ50" i="3"/>
  <c r="AJ51" i="3"/>
  <c r="AJ52" i="3"/>
  <c r="AJ53" i="3"/>
  <c r="AJ54" i="3"/>
  <c r="AJ55" i="3"/>
  <c r="AJ56" i="3"/>
  <c r="AJ57" i="3"/>
  <c r="AJ7" i="3"/>
  <c r="AO8" i="3"/>
  <c r="AO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7" i="3"/>
  <c r="AL3" i="3"/>
  <c r="AL8" i="3"/>
  <c r="AL9" i="3"/>
  <c r="AL10" i="3"/>
  <c r="AL11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L28" i="3"/>
  <c r="AL29" i="3"/>
  <c r="AL30" i="3"/>
  <c r="AL31" i="3"/>
  <c r="AL32" i="3"/>
  <c r="AL33" i="3"/>
  <c r="AL34" i="3"/>
  <c r="AL35" i="3"/>
  <c r="AL36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50" i="3"/>
  <c r="AL51" i="3"/>
  <c r="AL52" i="3"/>
  <c r="AL53" i="3"/>
  <c r="AL54" i="3"/>
  <c r="AL55" i="3"/>
  <c r="AL56" i="3"/>
  <c r="AL57" i="3"/>
  <c r="AL7" i="3"/>
  <c r="AI3" i="3"/>
  <c r="G31" i="14"/>
  <c r="E3" i="3"/>
  <c r="G28" i="14" s="1"/>
  <c r="G42" i="14"/>
  <c r="G16" i="14"/>
  <c r="G23" i="14"/>
  <c r="G21" i="14"/>
  <c r="J16" i="8"/>
  <c r="J9" i="8"/>
  <c r="J14" i="8"/>
  <c r="J15" i="8" s="1"/>
  <c r="J13" i="8"/>
  <c r="G33" i="14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7" i="3"/>
  <c r="K3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7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32" i="3"/>
  <c r="AE54" i="3"/>
  <c r="C54" i="3"/>
  <c r="E54" i="3" s="1"/>
  <c r="N54" i="3"/>
  <c r="O54" i="3" s="1"/>
  <c r="P54" i="3"/>
  <c r="T54" i="3"/>
  <c r="U54" i="3"/>
  <c r="C55" i="3"/>
  <c r="E55" i="3" s="1"/>
  <c r="N55" i="3"/>
  <c r="O55" i="3" s="1"/>
  <c r="T55" i="3"/>
  <c r="U55" i="3"/>
  <c r="V55" i="3"/>
  <c r="W55" i="3" s="1"/>
  <c r="AT55" i="3" s="1"/>
  <c r="C56" i="3"/>
  <c r="N56" i="3"/>
  <c r="O56" i="3" s="1"/>
  <c r="T56" i="3"/>
  <c r="U56" i="3"/>
  <c r="C57" i="3"/>
  <c r="H57" i="3" s="1"/>
  <c r="L57" i="3"/>
  <c r="N57" i="3"/>
  <c r="O57" i="3"/>
  <c r="P57" i="3"/>
  <c r="T57" i="3"/>
  <c r="Z57" i="3" s="1"/>
  <c r="AS57" i="3" s="1"/>
  <c r="U57" i="3"/>
  <c r="AA57" i="3"/>
  <c r="AU57" i="3" s="1"/>
  <c r="A54" i="3"/>
  <c r="J54" i="3" s="1"/>
  <c r="A55" i="3"/>
  <c r="P55" i="3" s="1"/>
  <c r="A56" i="3"/>
  <c r="Z56" i="3" s="1"/>
  <c r="AS56" i="3" s="1"/>
  <c r="A57" i="3"/>
  <c r="J57" i="3" s="1"/>
  <c r="J50" i="4"/>
  <c r="K50" i="4" s="1"/>
  <c r="L50" i="4" s="1"/>
  <c r="M50" i="4"/>
  <c r="J51" i="4"/>
  <c r="K51" i="4"/>
  <c r="L51" i="4"/>
  <c r="M51" i="4"/>
  <c r="J52" i="4"/>
  <c r="K52" i="4" s="1"/>
  <c r="L52" i="4" s="1"/>
  <c r="M52" i="4"/>
  <c r="J53" i="4"/>
  <c r="K53" i="4"/>
  <c r="L53" i="4" s="1"/>
  <c r="M53" i="4"/>
  <c r="C1" i="21"/>
  <c r="J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7" i="21"/>
  <c r="AC8" i="21"/>
  <c r="AC9" i="21"/>
  <c r="AC10" i="21"/>
  <c r="AC11" i="21"/>
  <c r="AC12" i="21"/>
  <c r="AC13" i="21"/>
  <c r="AC14" i="21"/>
  <c r="AC15" i="21"/>
  <c r="AC16" i="21"/>
  <c r="AC17" i="21"/>
  <c r="AC18" i="21"/>
  <c r="AC19" i="21"/>
  <c r="AC20" i="21"/>
  <c r="AC21" i="21"/>
  <c r="AC22" i="21"/>
  <c r="AC23" i="21"/>
  <c r="AC24" i="21"/>
  <c r="AC25" i="21"/>
  <c r="AC26" i="21"/>
  <c r="AC27" i="21"/>
  <c r="AI27" i="21" s="1"/>
  <c r="AC28" i="21"/>
  <c r="AC29" i="21"/>
  <c r="AC30" i="21"/>
  <c r="AC31" i="21"/>
  <c r="AC32" i="21"/>
  <c r="AC33" i="21"/>
  <c r="AC34" i="21"/>
  <c r="AC35" i="21"/>
  <c r="AC36" i="21"/>
  <c r="AI36" i="21" s="1"/>
  <c r="AC37" i="21"/>
  <c r="AI37" i="21" s="1"/>
  <c r="AC38" i="21"/>
  <c r="AI38" i="21" s="1"/>
  <c r="AC39" i="21"/>
  <c r="AC40" i="21"/>
  <c r="AC41" i="21"/>
  <c r="AC42" i="21"/>
  <c r="AC43" i="21"/>
  <c r="AC44" i="21"/>
  <c r="AC45" i="21"/>
  <c r="AC46" i="21"/>
  <c r="AC47" i="21"/>
  <c r="AC48" i="21"/>
  <c r="AC49" i="21"/>
  <c r="AC50" i="21"/>
  <c r="AC51" i="21"/>
  <c r="AC52" i="21"/>
  <c r="AC53" i="21"/>
  <c r="AC54" i="21"/>
  <c r="AI54" i="21" s="1"/>
  <c r="AC55" i="21"/>
  <c r="AI55" i="21" s="1"/>
  <c r="AC56" i="21"/>
  <c r="AC57" i="21"/>
  <c r="AC58" i="21"/>
  <c r="AI58" i="21" s="1"/>
  <c r="AC59" i="21"/>
  <c r="AC60" i="21"/>
  <c r="AI60" i="21" s="1"/>
  <c r="AC61" i="21"/>
  <c r="AI61" i="21" s="1"/>
  <c r="AC62" i="21"/>
  <c r="AI62" i="21" s="1"/>
  <c r="AC63" i="21"/>
  <c r="AI63" i="21" s="1"/>
  <c r="AC64" i="21"/>
  <c r="AI64" i="21" s="1"/>
  <c r="AC65" i="21"/>
  <c r="AI65" i="21" s="1"/>
  <c r="AC66" i="21"/>
  <c r="AI66" i="21" s="1"/>
  <c r="AC67" i="21"/>
  <c r="AI67" i="21" s="1"/>
  <c r="AC68" i="21"/>
  <c r="AC69" i="21"/>
  <c r="AC70" i="21"/>
  <c r="AC71" i="21"/>
  <c r="AC72" i="21"/>
  <c r="AI72" i="21" s="1"/>
  <c r="AC73" i="21"/>
  <c r="AI73" i="21" s="1"/>
  <c r="AC74" i="21"/>
  <c r="AI74" i="21" s="1"/>
  <c r="AC75" i="21"/>
  <c r="AI75" i="21" s="1"/>
  <c r="AC76" i="21"/>
  <c r="AI76" i="21" s="1"/>
  <c r="AC77" i="21"/>
  <c r="AI77" i="21" s="1"/>
  <c r="AC78" i="21"/>
  <c r="AI78" i="21" s="1"/>
  <c r="AC79" i="21"/>
  <c r="AI79" i="21" s="1"/>
  <c r="AC80" i="21"/>
  <c r="AC81" i="21"/>
  <c r="AC82" i="21"/>
  <c r="AI82" i="21" s="1"/>
  <c r="AC83" i="21"/>
  <c r="AI83" i="21" s="1"/>
  <c r="AC84" i="21"/>
  <c r="AI84" i="21" s="1"/>
  <c r="AC85" i="21"/>
  <c r="AC86" i="21"/>
  <c r="AC87" i="21"/>
  <c r="AC88" i="21"/>
  <c r="AC89" i="21"/>
  <c r="AC90" i="21"/>
  <c r="AC91" i="21"/>
  <c r="AC92" i="21"/>
  <c r="AC93" i="21"/>
  <c r="AC94" i="21"/>
  <c r="AC95" i="21"/>
  <c r="AC96" i="21"/>
  <c r="AC97" i="21"/>
  <c r="AC98" i="21"/>
  <c r="AC99" i="21"/>
  <c r="AI99" i="21" s="1"/>
  <c r="AC100" i="21"/>
  <c r="AC101" i="21"/>
  <c r="AC102" i="21"/>
  <c r="AC103" i="21"/>
  <c r="AC104" i="21"/>
  <c r="AC105" i="21"/>
  <c r="AC106" i="21"/>
  <c r="AI106" i="21" s="1"/>
  <c r="AC107" i="21"/>
  <c r="AI107" i="21" s="1"/>
  <c r="AC108" i="21"/>
  <c r="AC109" i="21"/>
  <c r="AC110" i="21"/>
  <c r="AC111" i="21"/>
  <c r="AC112" i="21"/>
  <c r="AC113" i="21"/>
  <c r="AI113" i="21" s="1"/>
  <c r="AC114" i="21"/>
  <c r="AC115" i="21"/>
  <c r="AC116" i="21"/>
  <c r="AI116" i="21" s="1"/>
  <c r="AC117" i="21"/>
  <c r="AC118" i="21"/>
  <c r="AI118" i="21" s="1"/>
  <c r="AC119" i="21"/>
  <c r="AI119" i="21" s="1"/>
  <c r="AC120" i="21"/>
  <c r="AI120" i="21" s="1"/>
  <c r="AC121" i="21"/>
  <c r="AI121" i="21" s="1"/>
  <c r="AC122" i="21"/>
  <c r="AI122" i="21" s="1"/>
  <c r="AC123" i="21"/>
  <c r="AI123" i="21" s="1"/>
  <c r="AC124" i="21"/>
  <c r="AI124" i="21" s="1"/>
  <c r="AC125" i="21"/>
  <c r="AC126" i="21"/>
  <c r="AI126" i="21" s="1"/>
  <c r="AC127" i="21"/>
  <c r="AC128" i="21"/>
  <c r="AC129" i="21"/>
  <c r="AC130" i="21"/>
  <c r="AC131" i="21"/>
  <c r="AC7" i="21"/>
  <c r="AI12" i="21"/>
  <c r="AI13" i="21"/>
  <c r="AI14" i="21"/>
  <c r="AI15" i="21"/>
  <c r="AI16" i="21"/>
  <c r="AI17" i="21"/>
  <c r="AI19" i="21"/>
  <c r="AI20" i="21"/>
  <c r="AI21" i="21"/>
  <c r="AI23" i="21"/>
  <c r="AI24" i="21"/>
  <c r="AI26" i="21"/>
  <c r="AI39" i="21"/>
  <c r="AI40" i="21"/>
  <c r="AI41" i="21"/>
  <c r="AI80" i="21"/>
  <c r="AI95" i="21"/>
  <c r="AI96" i="21"/>
  <c r="AI98" i="21"/>
  <c r="AI100" i="21"/>
  <c r="AI101" i="21"/>
  <c r="AI102" i="21"/>
  <c r="AI103" i="21"/>
  <c r="AI104" i="21"/>
  <c r="AI105" i="21"/>
  <c r="AI22" i="21"/>
  <c r="AI25" i="21"/>
  <c r="AI42" i="21"/>
  <c r="AI43" i="21"/>
  <c r="AI44" i="21"/>
  <c r="AI45" i="21"/>
  <c r="AI46" i="21"/>
  <c r="AI47" i="21"/>
  <c r="AI81" i="21"/>
  <c r="AI85" i="21"/>
  <c r="AI86" i="21"/>
  <c r="AI87" i="21"/>
  <c r="AI93" i="21"/>
  <c r="AI94" i="21"/>
  <c r="AI97" i="21"/>
  <c r="AI125" i="21"/>
  <c r="AI127" i="21"/>
  <c r="AI56" i="21"/>
  <c r="AI57" i="21"/>
  <c r="AI59" i="21"/>
  <c r="AI70" i="21"/>
  <c r="AI71" i="21"/>
  <c r="AI90" i="21"/>
  <c r="AI91" i="21"/>
  <c r="AI92" i="21"/>
  <c r="AI111" i="21"/>
  <c r="AI112" i="21"/>
  <c r="AI114" i="21"/>
  <c r="AI115" i="21"/>
  <c r="AI117" i="21"/>
  <c r="AI131" i="21"/>
  <c r="AI68" i="21"/>
  <c r="AI69" i="21"/>
  <c r="AI88" i="21"/>
  <c r="AI89" i="21"/>
  <c r="AI108" i="21"/>
  <c r="AI109" i="21"/>
  <c r="AI110" i="21"/>
  <c r="AI128" i="21"/>
  <c r="AI129" i="21"/>
  <c r="AI130" i="21"/>
  <c r="AI8" i="21"/>
  <c r="AI9" i="21"/>
  <c r="AI10" i="21"/>
  <c r="AI11" i="21"/>
  <c r="AI18" i="21"/>
  <c r="AI28" i="21"/>
  <c r="AI29" i="21"/>
  <c r="AI30" i="21"/>
  <c r="AI31" i="21"/>
  <c r="AI32" i="21"/>
  <c r="AI33" i="21"/>
  <c r="AI34" i="21"/>
  <c r="AI35" i="21"/>
  <c r="AI48" i="21"/>
  <c r="AI49" i="21"/>
  <c r="AI50" i="21"/>
  <c r="AI51" i="21"/>
  <c r="AI52" i="21"/>
  <c r="AI53" i="21"/>
  <c r="C128" i="21"/>
  <c r="C129" i="21"/>
  <c r="C130" i="21"/>
  <c r="C131" i="21"/>
  <c r="C127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66" i="21"/>
  <c r="O20" i="21"/>
  <c r="O22" i="21"/>
  <c r="O28" i="21"/>
  <c r="O42" i="21"/>
  <c r="O46" i="21"/>
  <c r="Y48" i="21"/>
  <c r="AR48" i="21" s="1"/>
  <c r="O29" i="21"/>
  <c r="W53" i="21"/>
  <c r="U53" i="21"/>
  <c r="T53" i="21"/>
  <c r="S53" i="21"/>
  <c r="M53" i="21"/>
  <c r="N53" i="21" s="1"/>
  <c r="K53" i="21"/>
  <c r="H53" i="21"/>
  <c r="L53" i="21" s="1"/>
  <c r="Q53" i="21" s="1"/>
  <c r="E53" i="21"/>
  <c r="AU53" i="21"/>
  <c r="T52" i="21"/>
  <c r="S52" i="21"/>
  <c r="Y52" i="21" s="1"/>
  <c r="AR52" i="21" s="1"/>
  <c r="N52" i="21"/>
  <c r="M52" i="21"/>
  <c r="T51" i="21"/>
  <c r="S51" i="21"/>
  <c r="N51" i="21"/>
  <c r="M51" i="21"/>
  <c r="H51" i="21"/>
  <c r="L51" i="21" s="1"/>
  <c r="T50" i="21"/>
  <c r="S50" i="21"/>
  <c r="O50" i="21"/>
  <c r="N50" i="21"/>
  <c r="M50" i="21"/>
  <c r="H50" i="21"/>
  <c r="L50" i="21" s="1"/>
  <c r="E50" i="21"/>
  <c r="Y50" i="21"/>
  <c r="AR50" i="21" s="1"/>
  <c r="U49" i="21"/>
  <c r="V49" i="21" s="1"/>
  <c r="AS49" i="21" s="1"/>
  <c r="T49" i="21"/>
  <c r="S49" i="21"/>
  <c r="N49" i="21"/>
  <c r="M49" i="21"/>
  <c r="K49" i="21"/>
  <c r="H49" i="21"/>
  <c r="L49" i="21" s="1"/>
  <c r="Q49" i="21" s="1"/>
  <c r="E49" i="21"/>
  <c r="T48" i="21"/>
  <c r="S48" i="21"/>
  <c r="N48" i="21"/>
  <c r="M48" i="21"/>
  <c r="H48" i="21"/>
  <c r="T47" i="21"/>
  <c r="S47" i="21"/>
  <c r="N47" i="21"/>
  <c r="M47" i="21"/>
  <c r="I47" i="21"/>
  <c r="H47" i="21"/>
  <c r="L47" i="21" s="1"/>
  <c r="T46" i="21"/>
  <c r="S46" i="21"/>
  <c r="N46" i="21"/>
  <c r="M46" i="21"/>
  <c r="H46" i="21"/>
  <c r="L46" i="21" s="1"/>
  <c r="E46" i="21"/>
  <c r="U45" i="21"/>
  <c r="T45" i="21"/>
  <c r="S45" i="21"/>
  <c r="N45" i="21"/>
  <c r="M45" i="21"/>
  <c r="K45" i="21"/>
  <c r="H45" i="21"/>
  <c r="L45" i="21" s="1"/>
  <c r="Q45" i="21" s="1"/>
  <c r="E45" i="21"/>
  <c r="T44" i="21"/>
  <c r="S44" i="21"/>
  <c r="Y44" i="21" s="1"/>
  <c r="AR44" i="21" s="1"/>
  <c r="N44" i="21"/>
  <c r="M44" i="21"/>
  <c r="T43" i="21"/>
  <c r="S43" i="21"/>
  <c r="N43" i="21"/>
  <c r="M43" i="21"/>
  <c r="H43" i="21"/>
  <c r="L43" i="21" s="1"/>
  <c r="T42" i="21"/>
  <c r="S42" i="21"/>
  <c r="Y42" i="21" s="1"/>
  <c r="AR42" i="21" s="1"/>
  <c r="N42" i="21"/>
  <c r="M42" i="21"/>
  <c r="H42" i="21"/>
  <c r="L42" i="21" s="1"/>
  <c r="E42" i="21"/>
  <c r="U41" i="21"/>
  <c r="V41" i="21" s="1"/>
  <c r="AS41" i="21" s="1"/>
  <c r="T41" i="21"/>
  <c r="S41" i="21"/>
  <c r="N41" i="21"/>
  <c r="M41" i="21"/>
  <c r="K41" i="21"/>
  <c r="H41" i="21"/>
  <c r="L41" i="21" s="1"/>
  <c r="Q41" i="21" s="1"/>
  <c r="E41" i="21"/>
  <c r="T40" i="21"/>
  <c r="S40" i="21"/>
  <c r="N40" i="21"/>
  <c r="M40" i="21"/>
  <c r="H40" i="21"/>
  <c r="T39" i="21"/>
  <c r="S39" i="21"/>
  <c r="N39" i="21"/>
  <c r="M39" i="21"/>
  <c r="I39" i="21"/>
  <c r="H39" i="21"/>
  <c r="L39" i="21" s="1"/>
  <c r="T38" i="21"/>
  <c r="S38" i="21"/>
  <c r="O38" i="21"/>
  <c r="N38" i="21"/>
  <c r="M38" i="21"/>
  <c r="H38" i="21"/>
  <c r="E38" i="21"/>
  <c r="U37" i="21"/>
  <c r="T37" i="21"/>
  <c r="S37" i="21"/>
  <c r="M37" i="21"/>
  <c r="N37" i="21" s="1"/>
  <c r="K37" i="21"/>
  <c r="H37" i="21"/>
  <c r="I37" i="21" s="1"/>
  <c r="E37" i="21"/>
  <c r="W36" i="21"/>
  <c r="T36" i="21"/>
  <c r="S36" i="21"/>
  <c r="N36" i="21"/>
  <c r="M36" i="21"/>
  <c r="H36" i="21"/>
  <c r="W35" i="21"/>
  <c r="T35" i="21"/>
  <c r="S35" i="21"/>
  <c r="Y35" i="21" s="1"/>
  <c r="AR35" i="21" s="1"/>
  <c r="N35" i="21"/>
  <c r="M35" i="21"/>
  <c r="H35" i="21"/>
  <c r="L35" i="21" s="1"/>
  <c r="T34" i="21"/>
  <c r="S34" i="21"/>
  <c r="M34" i="21"/>
  <c r="N34" i="21" s="1"/>
  <c r="T33" i="21"/>
  <c r="S33" i="21"/>
  <c r="M33" i="21"/>
  <c r="N33" i="21" s="1"/>
  <c r="K33" i="21"/>
  <c r="H33" i="21"/>
  <c r="I33" i="21" s="1"/>
  <c r="E33" i="21"/>
  <c r="W32" i="21"/>
  <c r="U32" i="21"/>
  <c r="T32" i="21"/>
  <c r="S32" i="21"/>
  <c r="Y32" i="21" s="1"/>
  <c r="AR32" i="21" s="1"/>
  <c r="N32" i="21"/>
  <c r="M32" i="21"/>
  <c r="H32" i="21"/>
  <c r="O32" i="21"/>
  <c r="U31" i="21"/>
  <c r="T31" i="21"/>
  <c r="S31" i="21"/>
  <c r="N31" i="21"/>
  <c r="M31" i="21"/>
  <c r="H31" i="21"/>
  <c r="T30" i="21"/>
  <c r="S30" i="21"/>
  <c r="O30" i="21"/>
  <c r="N30" i="21"/>
  <c r="M30" i="21"/>
  <c r="K30" i="21"/>
  <c r="E30" i="21"/>
  <c r="T29" i="21"/>
  <c r="S29" i="21"/>
  <c r="Y29" i="21" s="1"/>
  <c r="AR29" i="21" s="1"/>
  <c r="M29" i="21"/>
  <c r="N29" i="21" s="1"/>
  <c r="K29" i="21"/>
  <c r="H29" i="21"/>
  <c r="L29" i="21" s="1"/>
  <c r="E29" i="21"/>
  <c r="W28" i="21"/>
  <c r="U28" i="21"/>
  <c r="T28" i="21"/>
  <c r="S28" i="21"/>
  <c r="N28" i="21"/>
  <c r="M28" i="21"/>
  <c r="T27" i="21"/>
  <c r="S27" i="21"/>
  <c r="N27" i="21"/>
  <c r="M27" i="21"/>
  <c r="E27" i="21"/>
  <c r="T26" i="21"/>
  <c r="S26" i="21"/>
  <c r="M26" i="21"/>
  <c r="N26" i="21" s="1"/>
  <c r="H26" i="21"/>
  <c r="L26" i="21" s="1"/>
  <c r="E26" i="21"/>
  <c r="U25" i="21"/>
  <c r="V25" i="21" s="1"/>
  <c r="AS25" i="21" s="1"/>
  <c r="T25" i="21"/>
  <c r="S25" i="21"/>
  <c r="M25" i="21"/>
  <c r="N25" i="21" s="1"/>
  <c r="K25" i="21"/>
  <c r="H25" i="21"/>
  <c r="I25" i="21" s="1"/>
  <c r="E25" i="21"/>
  <c r="T24" i="21"/>
  <c r="S24" i="21"/>
  <c r="N24" i="21"/>
  <c r="M24" i="21"/>
  <c r="E24" i="21"/>
  <c r="T23" i="21"/>
  <c r="S23" i="21"/>
  <c r="Y23" i="21" s="1"/>
  <c r="AR23" i="21" s="1"/>
  <c r="N23" i="21"/>
  <c r="M23" i="21"/>
  <c r="E23" i="21"/>
  <c r="T22" i="21"/>
  <c r="S22" i="21"/>
  <c r="M22" i="21"/>
  <c r="N22" i="21" s="1"/>
  <c r="K22" i="21"/>
  <c r="H22" i="21"/>
  <c r="L22" i="21" s="1"/>
  <c r="U21" i="21"/>
  <c r="T21" i="21"/>
  <c r="S21" i="21"/>
  <c r="M21" i="21"/>
  <c r="N21" i="21" s="1"/>
  <c r="K21" i="21"/>
  <c r="I21" i="21"/>
  <c r="H21" i="21"/>
  <c r="L21" i="21" s="1"/>
  <c r="E21" i="21"/>
  <c r="W20" i="21"/>
  <c r="U20" i="21"/>
  <c r="T20" i="21"/>
  <c r="S20" i="21"/>
  <c r="N20" i="21"/>
  <c r="M20" i="21"/>
  <c r="K20" i="21"/>
  <c r="T19" i="21"/>
  <c r="S19" i="21"/>
  <c r="N19" i="21"/>
  <c r="M19" i="21"/>
  <c r="H19" i="21"/>
  <c r="T18" i="21"/>
  <c r="S18" i="21"/>
  <c r="N18" i="21"/>
  <c r="M18" i="21"/>
  <c r="K18" i="21"/>
  <c r="H18" i="21"/>
  <c r="W17" i="21"/>
  <c r="T17" i="21"/>
  <c r="S17" i="21"/>
  <c r="M17" i="21"/>
  <c r="N17" i="21" s="1"/>
  <c r="K17" i="21"/>
  <c r="H17" i="21"/>
  <c r="L17" i="21" s="1"/>
  <c r="Q17" i="21" s="1"/>
  <c r="E17" i="21"/>
  <c r="W16" i="21"/>
  <c r="U16" i="21"/>
  <c r="T16" i="21"/>
  <c r="S16" i="21"/>
  <c r="Y16" i="21" s="1"/>
  <c r="AR16" i="21" s="1"/>
  <c r="N16" i="21"/>
  <c r="M16" i="21"/>
  <c r="H16" i="21"/>
  <c r="E16" i="21"/>
  <c r="T15" i="21"/>
  <c r="S15" i="21"/>
  <c r="N15" i="21"/>
  <c r="M15" i="21"/>
  <c r="K15" i="21"/>
  <c r="T14" i="21"/>
  <c r="S14" i="21"/>
  <c r="Y14" i="21" s="1"/>
  <c r="AR14" i="21" s="1"/>
  <c r="O14" i="21"/>
  <c r="M14" i="21"/>
  <c r="N14" i="21" s="1"/>
  <c r="K14" i="21"/>
  <c r="H14" i="21"/>
  <c r="L14" i="21" s="1"/>
  <c r="E14" i="21"/>
  <c r="W13" i="21"/>
  <c r="U13" i="21"/>
  <c r="T13" i="21"/>
  <c r="S13" i="21"/>
  <c r="N13" i="21"/>
  <c r="M13" i="21"/>
  <c r="H13" i="21"/>
  <c r="O13" i="21"/>
  <c r="W12" i="21"/>
  <c r="T12" i="21"/>
  <c r="S12" i="21"/>
  <c r="Y12" i="21" s="1"/>
  <c r="AR12" i="21" s="1"/>
  <c r="M12" i="21"/>
  <c r="N12" i="21" s="1"/>
  <c r="T11" i="21"/>
  <c r="S11" i="21"/>
  <c r="N11" i="21"/>
  <c r="M11" i="21"/>
  <c r="K11" i="21"/>
  <c r="T10" i="21"/>
  <c r="S10" i="21"/>
  <c r="Y10" i="21" s="1"/>
  <c r="AR10" i="21" s="1"/>
  <c r="O10" i="21"/>
  <c r="M10" i="21"/>
  <c r="N10" i="21" s="1"/>
  <c r="K10" i="21"/>
  <c r="H10" i="21"/>
  <c r="L10" i="21" s="1"/>
  <c r="E10" i="21"/>
  <c r="T9" i="21"/>
  <c r="S9" i="21"/>
  <c r="N9" i="21"/>
  <c r="M9" i="21"/>
  <c r="T8" i="21"/>
  <c r="S8" i="21"/>
  <c r="Y8" i="21" s="1"/>
  <c r="AR8" i="21" s="1"/>
  <c r="M8" i="21"/>
  <c r="N8" i="21" s="1"/>
  <c r="AW7" i="21"/>
  <c r="AY8" i="21" s="1"/>
  <c r="AF7" i="21"/>
  <c r="T7" i="21"/>
  <c r="S7" i="21"/>
  <c r="N7" i="21"/>
  <c r="M7" i="21"/>
  <c r="K7" i="21"/>
  <c r="A7" i="21"/>
  <c r="AI7" i="21" s="1"/>
  <c r="AI3" i="21" s="1"/>
  <c r="G13" i="8"/>
  <c r="G14" i="8"/>
  <c r="G15" i="8" s="1"/>
  <c r="G30" i="14" s="1"/>
  <c r="G47" i="14"/>
  <c r="G36" i="14"/>
  <c r="AP25" i="21" s="1"/>
  <c r="E8" i="5"/>
  <c r="E7" i="5"/>
  <c r="Q6" i="18"/>
  <c r="Q7" i="18" s="1"/>
  <c r="Q8" i="18" s="1"/>
  <c r="Q9" i="18" s="1"/>
  <c r="Q10" i="18" s="1"/>
  <c r="Q11" i="18" s="1"/>
  <c r="Q12" i="18" s="1"/>
  <c r="T5" i="18"/>
  <c r="O4" i="18"/>
  <c r="N4" i="18"/>
  <c r="G4" i="18"/>
  <c r="I57" i="3" l="1"/>
  <c r="M57" i="3"/>
  <c r="P56" i="3"/>
  <c r="AK54" i="3"/>
  <c r="AV57" i="3"/>
  <c r="AW57" i="3"/>
  <c r="L56" i="3"/>
  <c r="AN54" i="3"/>
  <c r="H56" i="3"/>
  <c r="Z54" i="3"/>
  <c r="AS54" i="3" s="1"/>
  <c r="X54" i="3"/>
  <c r="V54" i="3"/>
  <c r="W54" i="3" s="1"/>
  <c r="AT54" i="3" s="1"/>
  <c r="AN55" i="3"/>
  <c r="AE55" i="3"/>
  <c r="J56" i="3"/>
  <c r="J55" i="3"/>
  <c r="Z55" i="3"/>
  <c r="AS55" i="3" s="1"/>
  <c r="L54" i="3"/>
  <c r="AK57" i="3"/>
  <c r="H54" i="3"/>
  <c r="L55" i="3"/>
  <c r="H55" i="3"/>
  <c r="Q57" i="3"/>
  <c r="AK55" i="3"/>
  <c r="AK56" i="3"/>
  <c r="AE57" i="3"/>
  <c r="AC57" i="3"/>
  <c r="AB57" i="3" s="1"/>
  <c r="E57" i="3"/>
  <c r="AE56" i="3"/>
  <c r="X57" i="3"/>
  <c r="E56" i="3"/>
  <c r="V57" i="3"/>
  <c r="W57" i="3" s="1"/>
  <c r="AT57" i="3" s="1"/>
  <c r="AV56" i="3" s="1"/>
  <c r="AA56" i="3"/>
  <c r="X56" i="3"/>
  <c r="AN57" i="3"/>
  <c r="R57" i="3"/>
  <c r="V56" i="3"/>
  <c r="W56" i="3" s="1"/>
  <c r="AT56" i="3" s="1"/>
  <c r="X55" i="3"/>
  <c r="AN56" i="3"/>
  <c r="V28" i="21"/>
  <c r="AS28" i="21" s="1"/>
  <c r="V20" i="21"/>
  <c r="AS20" i="21" s="1"/>
  <c r="V31" i="21"/>
  <c r="AS31" i="21" s="1"/>
  <c r="V21" i="21"/>
  <c r="AS21" i="21" s="1"/>
  <c r="V53" i="21"/>
  <c r="AS53" i="21" s="1"/>
  <c r="AU52" i="21" s="1"/>
  <c r="V32" i="21"/>
  <c r="AS32" i="21" s="1"/>
  <c r="V45" i="21"/>
  <c r="AS45" i="21" s="1"/>
  <c r="V16" i="21"/>
  <c r="AS16" i="21" s="1"/>
  <c r="V13" i="21"/>
  <c r="AS13" i="21" s="1"/>
  <c r="G29" i="14"/>
  <c r="AP19" i="21"/>
  <c r="AP27" i="21"/>
  <c r="AP16" i="21"/>
  <c r="AP31" i="21"/>
  <c r="AL7" i="21"/>
  <c r="AP20" i="21"/>
  <c r="AP14" i="21"/>
  <c r="AP9" i="21"/>
  <c r="AP12" i="21"/>
  <c r="AP10" i="21"/>
  <c r="AP13" i="21"/>
  <c r="AP37" i="21"/>
  <c r="I51" i="21"/>
  <c r="I43" i="21"/>
  <c r="L37" i="21"/>
  <c r="I22" i="21"/>
  <c r="I29" i="21"/>
  <c r="I35" i="21"/>
  <c r="L33" i="21"/>
  <c r="Q33" i="21" s="1"/>
  <c r="O25" i="21"/>
  <c r="Y19" i="21"/>
  <c r="AR19" i="21" s="1"/>
  <c r="Y28" i="21"/>
  <c r="AR28" i="21" s="1"/>
  <c r="Y46" i="21"/>
  <c r="AR46" i="21" s="1"/>
  <c r="AP28" i="21"/>
  <c r="Y20" i="21"/>
  <c r="AR20" i="21" s="1"/>
  <c r="AP29" i="21"/>
  <c r="P29" i="21"/>
  <c r="Q29" i="21"/>
  <c r="P10" i="21"/>
  <c r="Q10" i="21"/>
  <c r="I19" i="21"/>
  <c r="L19" i="21"/>
  <c r="Q19" i="21" s="1"/>
  <c r="Q14" i="21"/>
  <c r="P14" i="21"/>
  <c r="O24" i="21"/>
  <c r="AP24" i="21"/>
  <c r="K24" i="21"/>
  <c r="W24" i="21"/>
  <c r="U24" i="21"/>
  <c r="V24" i="21" s="1"/>
  <c r="AS24" i="21" s="1"/>
  <c r="H24" i="21"/>
  <c r="W23" i="21"/>
  <c r="AP17" i="21"/>
  <c r="O17" i="21"/>
  <c r="P17" i="21" s="1"/>
  <c r="Y17" i="21"/>
  <c r="AR17" i="21" s="1"/>
  <c r="L36" i="21"/>
  <c r="Q36" i="21" s="1"/>
  <c r="I36" i="21"/>
  <c r="Y9" i="21"/>
  <c r="AR9" i="21" s="1"/>
  <c r="H8" i="21"/>
  <c r="K9" i="21"/>
  <c r="H9" i="21"/>
  <c r="E9" i="21"/>
  <c r="L40" i="21"/>
  <c r="Q40" i="21" s="1"/>
  <c r="I40" i="21"/>
  <c r="E8" i="21"/>
  <c r="L18" i="21"/>
  <c r="I18" i="21"/>
  <c r="U8" i="21"/>
  <c r="V8" i="21" s="1"/>
  <c r="AS8" i="21" s="1"/>
  <c r="I10" i="21"/>
  <c r="Y11" i="21"/>
  <c r="AR11" i="21" s="1"/>
  <c r="AP11" i="21"/>
  <c r="O11" i="21"/>
  <c r="W26" i="21"/>
  <c r="U26" i="21"/>
  <c r="V26" i="21" s="1"/>
  <c r="AS26" i="21" s="1"/>
  <c r="U27" i="21"/>
  <c r="V27" i="21" s="1"/>
  <c r="AS27" i="21" s="1"/>
  <c r="W27" i="21"/>
  <c r="K27" i="21"/>
  <c r="Y21" i="21"/>
  <c r="AR21" i="21" s="1"/>
  <c r="AP21" i="21"/>
  <c r="O21" i="21"/>
  <c r="P21" i="21" s="1"/>
  <c r="P22" i="21"/>
  <c r="O31" i="21"/>
  <c r="Y31" i="21"/>
  <c r="AR31" i="21" s="1"/>
  <c r="S3" i="21"/>
  <c r="AD7" i="21"/>
  <c r="U9" i="21"/>
  <c r="V9" i="21" s="1"/>
  <c r="AS9" i="21" s="1"/>
  <c r="U23" i="21"/>
  <c r="V23" i="21" s="1"/>
  <c r="AS23" i="21" s="1"/>
  <c r="H27" i="21"/>
  <c r="Q21" i="21"/>
  <c r="Y26" i="21"/>
  <c r="AR26" i="21" s="1"/>
  <c r="AP26" i="21"/>
  <c r="O26" i="21"/>
  <c r="P26" i="21" s="1"/>
  <c r="O9" i="21"/>
  <c r="AH7" i="21"/>
  <c r="L13" i="21"/>
  <c r="Q13" i="21" s="1"/>
  <c r="I13" i="21"/>
  <c r="L31" i="21"/>
  <c r="Q31" i="21" s="1"/>
  <c r="I31" i="21"/>
  <c r="W8" i="21"/>
  <c r="Y34" i="21"/>
  <c r="AR34" i="21" s="1"/>
  <c r="AP34" i="21"/>
  <c r="O34" i="21"/>
  <c r="Q37" i="21"/>
  <c r="L16" i="21"/>
  <c r="Q16" i="21" s="1"/>
  <c r="I16" i="21"/>
  <c r="W10" i="21"/>
  <c r="H11" i="21"/>
  <c r="E11" i="21"/>
  <c r="W11" i="21"/>
  <c r="U11" i="21"/>
  <c r="V11" i="21" s="1"/>
  <c r="AS11" i="21" s="1"/>
  <c r="K12" i="21"/>
  <c r="I14" i="21"/>
  <c r="W14" i="21"/>
  <c r="U14" i="21"/>
  <c r="V14" i="21" s="1"/>
  <c r="AS14" i="21" s="1"/>
  <c r="H15" i="21"/>
  <c r="E15" i="21"/>
  <c r="Y18" i="21"/>
  <c r="AR18" i="21" s="1"/>
  <c r="AP18" i="21"/>
  <c r="O18" i="21"/>
  <c r="P18" i="21" s="1"/>
  <c r="E19" i="21"/>
  <c r="W33" i="21"/>
  <c r="K34" i="21"/>
  <c r="U33" i="21"/>
  <c r="V33" i="21" s="1"/>
  <c r="AS33" i="21" s="1"/>
  <c r="H34" i="21"/>
  <c r="E34" i="21"/>
  <c r="Y24" i="21"/>
  <c r="AR24" i="21" s="1"/>
  <c r="W9" i="21"/>
  <c r="E12" i="21"/>
  <c r="U10" i="21"/>
  <c r="V10" i="21" s="1"/>
  <c r="AS10" i="21" s="1"/>
  <c r="Q18" i="21"/>
  <c r="E18" i="21"/>
  <c r="U17" i="21"/>
  <c r="V17" i="21" s="1"/>
  <c r="AS17" i="21" s="1"/>
  <c r="U7" i="21"/>
  <c r="V7" i="21" s="1"/>
  <c r="K8" i="21"/>
  <c r="W7" i="21"/>
  <c r="AG7" i="21"/>
  <c r="Y13" i="21"/>
  <c r="AR13" i="21" s="1"/>
  <c r="H12" i="21"/>
  <c r="Y15" i="21"/>
  <c r="AR15" i="21" s="1"/>
  <c r="AP15" i="21"/>
  <c r="O15" i="21"/>
  <c r="L25" i="21"/>
  <c r="AE8" i="21"/>
  <c r="AF8" i="21" s="1"/>
  <c r="AG8" i="21" s="1"/>
  <c r="AP7" i="21"/>
  <c r="AO7" i="21"/>
  <c r="O7" i="21"/>
  <c r="AK7" i="21"/>
  <c r="AN7" i="21"/>
  <c r="AJ7" i="21"/>
  <c r="Y7" i="21"/>
  <c r="AR7" i="21" s="1"/>
  <c r="W18" i="21"/>
  <c r="U18" i="21"/>
  <c r="V18" i="21" s="1"/>
  <c r="AS18" i="21" s="1"/>
  <c r="W19" i="21"/>
  <c r="U19" i="21"/>
  <c r="V19" i="21" s="1"/>
  <c r="AS19" i="21" s="1"/>
  <c r="AM7" i="21"/>
  <c r="E7" i="21"/>
  <c r="AP8" i="21"/>
  <c r="H7" i="21"/>
  <c r="U12" i="21"/>
  <c r="V12" i="21" s="1"/>
  <c r="AS12" i="21" s="1"/>
  <c r="U15" i="21"/>
  <c r="V15" i="21" s="1"/>
  <c r="AS15" i="21" s="1"/>
  <c r="W15" i="21"/>
  <c r="K16" i="21"/>
  <c r="K19" i="21"/>
  <c r="L48" i="21"/>
  <c r="I48" i="21"/>
  <c r="Y33" i="21"/>
  <c r="AR33" i="21" s="1"/>
  <c r="Y36" i="21"/>
  <c r="AR36" i="21" s="1"/>
  <c r="AP36" i="21"/>
  <c r="O36" i="21"/>
  <c r="O27" i="21"/>
  <c r="K36" i="21"/>
  <c r="E36" i="21"/>
  <c r="U36" i="21"/>
  <c r="V36" i="21" s="1"/>
  <c r="AS36" i="21" s="1"/>
  <c r="U35" i="21"/>
  <c r="V35" i="21" s="1"/>
  <c r="AS35" i="21" s="1"/>
  <c r="Y37" i="21"/>
  <c r="AR37" i="21" s="1"/>
  <c r="O37" i="21"/>
  <c r="P37" i="21" s="1"/>
  <c r="Y38" i="21"/>
  <c r="AR38" i="21" s="1"/>
  <c r="AP38" i="21"/>
  <c r="Y41" i="21"/>
  <c r="AR41" i="21" s="1"/>
  <c r="O41" i="21"/>
  <c r="P41" i="21" s="1"/>
  <c r="K52" i="21"/>
  <c r="E52" i="21"/>
  <c r="W52" i="21"/>
  <c r="U52" i="21"/>
  <c r="V52" i="21" s="1"/>
  <c r="AS52" i="21" s="1"/>
  <c r="W51" i="21"/>
  <c r="U51" i="21"/>
  <c r="V51" i="21" s="1"/>
  <c r="AS51" i="21" s="1"/>
  <c r="H52" i="21"/>
  <c r="W30" i="21"/>
  <c r="U30" i="21"/>
  <c r="V30" i="21" s="1"/>
  <c r="AS30" i="21" s="1"/>
  <c r="K31" i="21"/>
  <c r="E31" i="21"/>
  <c r="AP33" i="21"/>
  <c r="L38" i="21"/>
  <c r="Q38" i="21" s="1"/>
  <c r="I38" i="21"/>
  <c r="Y45" i="21"/>
  <c r="AR45" i="21" s="1"/>
  <c r="O45" i="21"/>
  <c r="P45" i="21" s="1"/>
  <c r="Y49" i="21"/>
  <c r="AR49" i="21" s="1"/>
  <c r="O49" i="21"/>
  <c r="P49" i="21" s="1"/>
  <c r="Q26" i="21"/>
  <c r="W25" i="21"/>
  <c r="O33" i="21"/>
  <c r="P33" i="21" s="1"/>
  <c r="O23" i="21"/>
  <c r="Y40" i="21"/>
  <c r="AR40" i="21" s="1"/>
  <c r="AP40" i="21"/>
  <c r="O40" i="21"/>
  <c r="E13" i="21"/>
  <c r="I17" i="21"/>
  <c r="W22" i="21"/>
  <c r="U22" i="21"/>
  <c r="V22" i="21" s="1"/>
  <c r="AS22" i="21" s="1"/>
  <c r="V37" i="21"/>
  <c r="AS37" i="21" s="1"/>
  <c r="K40" i="21"/>
  <c r="E40" i="21"/>
  <c r="W40" i="21"/>
  <c r="U40" i="21"/>
  <c r="V40" i="21" s="1"/>
  <c r="AS40" i="21" s="1"/>
  <c r="W39" i="21"/>
  <c r="U39" i="21"/>
  <c r="V39" i="21" s="1"/>
  <c r="AS39" i="21" s="1"/>
  <c r="AP41" i="21"/>
  <c r="I26" i="21"/>
  <c r="K26" i="21"/>
  <c r="K32" i="21"/>
  <c r="E32" i="21"/>
  <c r="O35" i="21"/>
  <c r="AP35" i="21"/>
  <c r="AP45" i="21"/>
  <c r="W29" i="21"/>
  <c r="O16" i="21"/>
  <c r="P16" i="21" s="1"/>
  <c r="H23" i="21"/>
  <c r="W31" i="21"/>
  <c r="L32" i="21"/>
  <c r="Q32" i="21" s="1"/>
  <c r="I32" i="21"/>
  <c r="AP32" i="21"/>
  <c r="K44" i="21"/>
  <c r="E44" i="21"/>
  <c r="W44" i="21"/>
  <c r="U44" i="21"/>
  <c r="V44" i="21" s="1"/>
  <c r="AS44" i="21" s="1"/>
  <c r="W43" i="21"/>
  <c r="U43" i="21"/>
  <c r="V43" i="21" s="1"/>
  <c r="AS43" i="21" s="1"/>
  <c r="Y30" i="21"/>
  <c r="AR30" i="21" s="1"/>
  <c r="AP30" i="21"/>
  <c r="O8" i="21"/>
  <c r="K13" i="21"/>
  <c r="E20" i="21"/>
  <c r="Y22" i="21"/>
  <c r="AR22" i="21" s="1"/>
  <c r="AP22" i="21"/>
  <c r="AP23" i="21"/>
  <c r="Y27" i="21"/>
  <c r="AR27" i="21" s="1"/>
  <c r="K28" i="21"/>
  <c r="E28" i="21"/>
  <c r="O39" i="21"/>
  <c r="Y39" i="21"/>
  <c r="AR39" i="21" s="1"/>
  <c r="AP39" i="21"/>
  <c r="H44" i="21"/>
  <c r="H20" i="21"/>
  <c r="Q22" i="21"/>
  <c r="W21" i="21"/>
  <c r="K23" i="21"/>
  <c r="Y25" i="21"/>
  <c r="AR25" i="21" s="1"/>
  <c r="H28" i="21"/>
  <c r="U29" i="21"/>
  <c r="V29" i="21" s="1"/>
  <c r="AS29" i="21" s="1"/>
  <c r="H30" i="21"/>
  <c r="AP49" i="21"/>
  <c r="O12" i="21"/>
  <c r="O19" i="21"/>
  <c r="E22" i="21"/>
  <c r="K48" i="21"/>
  <c r="E48" i="21"/>
  <c r="W48" i="21"/>
  <c r="U48" i="21"/>
  <c r="V48" i="21" s="1"/>
  <c r="AS48" i="21" s="1"/>
  <c r="Q48" i="21"/>
  <c r="W47" i="21"/>
  <c r="U47" i="21"/>
  <c r="V47" i="21" s="1"/>
  <c r="AS47" i="21" s="1"/>
  <c r="I41" i="21"/>
  <c r="AP43" i="21"/>
  <c r="O44" i="21"/>
  <c r="I45" i="21"/>
  <c r="AP47" i="21"/>
  <c r="O48" i="21"/>
  <c r="I49" i="21"/>
  <c r="AP51" i="21"/>
  <c r="O52" i="21"/>
  <c r="I53" i="21"/>
  <c r="Y43" i="21"/>
  <c r="AR43" i="21" s="1"/>
  <c r="Y47" i="21"/>
  <c r="AR47" i="21" s="1"/>
  <c r="Y51" i="21"/>
  <c r="AR51" i="21" s="1"/>
  <c r="I42" i="21"/>
  <c r="AP44" i="21"/>
  <c r="I46" i="21"/>
  <c r="AP48" i="21"/>
  <c r="I50" i="21"/>
  <c r="AP52" i="21"/>
  <c r="O53" i="21"/>
  <c r="P53" i="21" s="1"/>
  <c r="E35" i="21"/>
  <c r="K38" i="21"/>
  <c r="P38" i="21" s="1"/>
  <c r="E39" i="21"/>
  <c r="K42" i="21"/>
  <c r="P42" i="21" s="1"/>
  <c r="E43" i="21"/>
  <c r="K46" i="21"/>
  <c r="P46" i="21" s="1"/>
  <c r="E47" i="21"/>
  <c r="K50" i="21"/>
  <c r="P50" i="21" s="1"/>
  <c r="E51" i="21"/>
  <c r="AP53" i="21"/>
  <c r="K35" i="21"/>
  <c r="K39" i="21"/>
  <c r="P39" i="21" s="1"/>
  <c r="K43" i="21"/>
  <c r="K47" i="21"/>
  <c r="K51" i="21"/>
  <c r="W37" i="21"/>
  <c r="W41" i="21"/>
  <c r="Q42" i="21"/>
  <c r="W45" i="21"/>
  <c r="Q46" i="21"/>
  <c r="W49" i="21"/>
  <c r="Q50" i="21"/>
  <c r="Y53" i="21"/>
  <c r="AR53" i="21" s="1"/>
  <c r="Z53" i="21"/>
  <c r="U34" i="21"/>
  <c r="V34" i="21" s="1"/>
  <c r="AS34" i="21" s="1"/>
  <c r="U38" i="21"/>
  <c r="V38" i="21" s="1"/>
  <c r="AS38" i="21" s="1"/>
  <c r="U42" i="21"/>
  <c r="V42" i="21" s="1"/>
  <c r="AS42" i="21" s="1"/>
  <c r="AP42" i="21"/>
  <c r="O43" i="21"/>
  <c r="U46" i="21"/>
  <c r="V46" i="21" s="1"/>
  <c r="AS46" i="21" s="1"/>
  <c r="AP46" i="21"/>
  <c r="O47" i="21"/>
  <c r="U50" i="21"/>
  <c r="V50" i="21" s="1"/>
  <c r="AS50" i="21" s="1"/>
  <c r="AP50" i="21"/>
  <c r="O51" i="21"/>
  <c r="W34" i="21"/>
  <c r="Q35" i="21"/>
  <c r="W38" i="21"/>
  <c r="Q39" i="21"/>
  <c r="W42" i="21"/>
  <c r="Q43" i="21"/>
  <c r="W46" i="21"/>
  <c r="Q47" i="21"/>
  <c r="W50" i="21"/>
  <c r="Q51" i="21"/>
  <c r="G20" i="14"/>
  <c r="G22" i="14" s="1"/>
  <c r="Q2" i="18"/>
  <c r="O9" i="3"/>
  <c r="O38" i="3"/>
  <c r="O41" i="3"/>
  <c r="N8" i="3"/>
  <c r="O8" i="3" s="1"/>
  <c r="N9" i="3"/>
  <c r="N10" i="3"/>
  <c r="O10" i="3" s="1"/>
  <c r="N11" i="3"/>
  <c r="O11" i="3" s="1"/>
  <c r="N12" i="3"/>
  <c r="O12" i="3" s="1"/>
  <c r="N13" i="3"/>
  <c r="O13" i="3" s="1"/>
  <c r="N14" i="3"/>
  <c r="O14" i="3" s="1"/>
  <c r="N15" i="3"/>
  <c r="O15" i="3" s="1"/>
  <c r="N16" i="3"/>
  <c r="O16" i="3" s="1"/>
  <c r="N17" i="3"/>
  <c r="O17" i="3" s="1"/>
  <c r="N18" i="3"/>
  <c r="O18" i="3" s="1"/>
  <c r="N19" i="3"/>
  <c r="O19" i="3" s="1"/>
  <c r="N20" i="3"/>
  <c r="O20" i="3" s="1"/>
  <c r="N21" i="3"/>
  <c r="O21" i="3" s="1"/>
  <c r="N22" i="3"/>
  <c r="O22" i="3" s="1"/>
  <c r="N23" i="3"/>
  <c r="O23" i="3" s="1"/>
  <c r="N24" i="3"/>
  <c r="O24" i="3" s="1"/>
  <c r="N25" i="3"/>
  <c r="O25" i="3" s="1"/>
  <c r="N26" i="3"/>
  <c r="O26" i="3" s="1"/>
  <c r="N27" i="3"/>
  <c r="O27" i="3" s="1"/>
  <c r="N28" i="3"/>
  <c r="O28" i="3" s="1"/>
  <c r="N29" i="3"/>
  <c r="O29" i="3" s="1"/>
  <c r="N30" i="3"/>
  <c r="O30" i="3" s="1"/>
  <c r="N31" i="3"/>
  <c r="O31" i="3" s="1"/>
  <c r="N32" i="3"/>
  <c r="O32" i="3" s="1"/>
  <c r="N33" i="3"/>
  <c r="O33" i="3" s="1"/>
  <c r="N34" i="3"/>
  <c r="O34" i="3" s="1"/>
  <c r="N35" i="3"/>
  <c r="O35" i="3" s="1"/>
  <c r="N36" i="3"/>
  <c r="O36" i="3" s="1"/>
  <c r="N37" i="3"/>
  <c r="O37" i="3" s="1"/>
  <c r="N38" i="3"/>
  <c r="N39" i="3"/>
  <c r="O39" i="3" s="1"/>
  <c r="N40" i="3"/>
  <c r="O40" i="3" s="1"/>
  <c r="N41" i="3"/>
  <c r="N42" i="3"/>
  <c r="O42" i="3" s="1"/>
  <c r="N43" i="3"/>
  <c r="O43" i="3" s="1"/>
  <c r="N44" i="3"/>
  <c r="O44" i="3" s="1"/>
  <c r="N45" i="3"/>
  <c r="O45" i="3" s="1"/>
  <c r="N46" i="3"/>
  <c r="O46" i="3" s="1"/>
  <c r="N47" i="3"/>
  <c r="O47" i="3" s="1"/>
  <c r="N48" i="3"/>
  <c r="O48" i="3" s="1"/>
  <c r="N49" i="3"/>
  <c r="O49" i="3" s="1"/>
  <c r="N50" i="3"/>
  <c r="O50" i="3" s="1"/>
  <c r="N51" i="3"/>
  <c r="O51" i="3" s="1"/>
  <c r="N52" i="3"/>
  <c r="O52" i="3" s="1"/>
  <c r="N53" i="3"/>
  <c r="O53" i="3" s="1"/>
  <c r="N7" i="3"/>
  <c r="O7" i="3" s="1"/>
  <c r="M13" i="18"/>
  <c r="A52" i="3"/>
  <c r="J52" i="3" s="1"/>
  <c r="C52" i="3"/>
  <c r="H52" i="3" s="1"/>
  <c r="I52" i="3" s="1"/>
  <c r="T52" i="3"/>
  <c r="U52" i="3"/>
  <c r="A53" i="3"/>
  <c r="C53" i="3"/>
  <c r="L53" i="3" s="1"/>
  <c r="T53" i="3"/>
  <c r="U53" i="3"/>
  <c r="I56" i="3" l="1"/>
  <c r="M56" i="3"/>
  <c r="AV55" i="3"/>
  <c r="AV54" i="3" s="1"/>
  <c r="I55" i="3"/>
  <c r="M55" i="3"/>
  <c r="I54" i="3"/>
  <c r="M54" i="3"/>
  <c r="P53" i="3"/>
  <c r="J53" i="3"/>
  <c r="AA55" i="3"/>
  <c r="AU56" i="3"/>
  <c r="AW56" i="3" s="1"/>
  <c r="AC56" i="3"/>
  <c r="AB56" i="3" s="1"/>
  <c r="Z52" i="3"/>
  <c r="AS52" i="3" s="1"/>
  <c r="AU51" i="21"/>
  <c r="AU50" i="21" s="1"/>
  <c r="AU49" i="21" s="1"/>
  <c r="AU48" i="21" s="1"/>
  <c r="AU47" i="21" s="1"/>
  <c r="AU46" i="21" s="1"/>
  <c r="AU45" i="21" s="1"/>
  <c r="AU44" i="21" s="1"/>
  <c r="AU43" i="21" s="1"/>
  <c r="AU42" i="21" s="1"/>
  <c r="AU41" i="21" s="1"/>
  <c r="AU40" i="21" s="1"/>
  <c r="AU39" i="21" s="1"/>
  <c r="AU38" i="21" s="1"/>
  <c r="AU37" i="21" s="1"/>
  <c r="AU36" i="21" s="1"/>
  <c r="AU35" i="21" s="1"/>
  <c r="AU34" i="21" s="1"/>
  <c r="AU33" i="21" s="1"/>
  <c r="AU32" i="21" s="1"/>
  <c r="AU31" i="21" s="1"/>
  <c r="AU30" i="21" s="1"/>
  <c r="AU29" i="21" s="1"/>
  <c r="AU28" i="21" s="1"/>
  <c r="AU27" i="21" s="1"/>
  <c r="AU26" i="21" s="1"/>
  <c r="AU25" i="21" s="1"/>
  <c r="AU24" i="21" s="1"/>
  <c r="AU23" i="21" s="1"/>
  <c r="AU22" i="21" s="1"/>
  <c r="AU21" i="21" s="1"/>
  <c r="AU20" i="21" s="1"/>
  <c r="AU19" i="21" s="1"/>
  <c r="AU18" i="21" s="1"/>
  <c r="AU17" i="21" s="1"/>
  <c r="AU16" i="21" s="1"/>
  <c r="AU15" i="21" s="1"/>
  <c r="AU14" i="21" s="1"/>
  <c r="AU13" i="21" s="1"/>
  <c r="AU12" i="21" s="1"/>
  <c r="AU11" i="21" s="1"/>
  <c r="AU10" i="21" s="1"/>
  <c r="AU9" i="21" s="1"/>
  <c r="AU8" i="21" s="1"/>
  <c r="AU7" i="21" s="1"/>
  <c r="P35" i="21"/>
  <c r="P13" i="21"/>
  <c r="P32" i="21"/>
  <c r="P43" i="21"/>
  <c r="P51" i="21"/>
  <c r="P48" i="21"/>
  <c r="P40" i="21"/>
  <c r="P47" i="21"/>
  <c r="P19" i="21"/>
  <c r="P31" i="21"/>
  <c r="P36" i="21"/>
  <c r="P44" i="21"/>
  <c r="L44" i="21"/>
  <c r="Q44" i="21" s="1"/>
  <c r="I44" i="21"/>
  <c r="L11" i="21"/>
  <c r="I11" i="21"/>
  <c r="L12" i="21"/>
  <c r="I12" i="21"/>
  <c r="I30" i="21"/>
  <c r="L30" i="21"/>
  <c r="AP3" i="21"/>
  <c r="L28" i="21"/>
  <c r="Q28" i="21" s="1"/>
  <c r="I28" i="21"/>
  <c r="L23" i="21"/>
  <c r="Q23" i="21" s="1"/>
  <c r="I23" i="21"/>
  <c r="I15" i="21"/>
  <c r="L15" i="21"/>
  <c r="I34" i="21"/>
  <c r="L34" i="21"/>
  <c r="Q25" i="21"/>
  <c r="P25" i="21"/>
  <c r="P28" i="21"/>
  <c r="L9" i="21"/>
  <c r="Q9" i="21" s="1"/>
  <c r="I9" i="21"/>
  <c r="AB53" i="21"/>
  <c r="AA53" i="21" s="1"/>
  <c r="AT53" i="21"/>
  <c r="AV53" i="21" s="1"/>
  <c r="V3" i="21"/>
  <c r="AS7" i="21"/>
  <c r="L8" i="21"/>
  <c r="I8" i="21"/>
  <c r="L24" i="21"/>
  <c r="Q24" i="21" s="1"/>
  <c r="I24" i="21"/>
  <c r="I7" i="21"/>
  <c r="L7" i="21"/>
  <c r="L20" i="21"/>
  <c r="I20" i="21"/>
  <c r="L52" i="21"/>
  <c r="Q52" i="21" s="1"/>
  <c r="I52" i="21"/>
  <c r="E3" i="21"/>
  <c r="L27" i="21"/>
  <c r="Q27" i="21" s="1"/>
  <c r="I27" i="21"/>
  <c r="Z52" i="21"/>
  <c r="P52" i="3"/>
  <c r="M52" i="3"/>
  <c r="R52" i="3" s="1"/>
  <c r="Z53" i="3"/>
  <c r="AS53" i="3" s="1"/>
  <c r="L52" i="3"/>
  <c r="E53" i="3"/>
  <c r="E52" i="3"/>
  <c r="V52" i="3"/>
  <c r="W52" i="3" s="1"/>
  <c r="AT52" i="3" s="1"/>
  <c r="V53" i="3"/>
  <c r="W53" i="3" s="1"/>
  <c r="AT53" i="3" s="1"/>
  <c r="X52" i="3"/>
  <c r="X53" i="3"/>
  <c r="AV53" i="3"/>
  <c r="H53" i="3"/>
  <c r="J48" i="4"/>
  <c r="K48" i="4" s="1"/>
  <c r="L48" i="4" s="1"/>
  <c r="J49" i="4"/>
  <c r="K49" i="4" s="1"/>
  <c r="L49" i="4" s="1"/>
  <c r="AF8" i="3"/>
  <c r="AG8" i="3" s="1"/>
  <c r="D21" i="1"/>
  <c r="H34" i="5"/>
  <c r="G9" i="14"/>
  <c r="H9" i="14" s="1"/>
  <c r="I38" i="1"/>
  <c r="D38" i="1"/>
  <c r="D32" i="1"/>
  <c r="D24" i="1"/>
  <c r="J21" i="1"/>
  <c r="I21" i="1"/>
  <c r="H21" i="1"/>
  <c r="G21" i="1"/>
  <c r="D16" i="1"/>
  <c r="D15" i="1"/>
  <c r="D2" i="1"/>
  <c r="D20" i="1" s="1"/>
  <c r="D26" i="1" s="1"/>
  <c r="Z69" i="14"/>
  <c r="AB69" i="14" s="1"/>
  <c r="Z68" i="14"/>
  <c r="AB68" i="14" s="1"/>
  <c r="Z67" i="14"/>
  <c r="AB67" i="14" s="1"/>
  <c r="Z66" i="14"/>
  <c r="AA66" i="14" s="1"/>
  <c r="N65" i="14"/>
  <c r="W64" i="14"/>
  <c r="Z58" i="14"/>
  <c r="AB58" i="14" s="1"/>
  <c r="Z57" i="14"/>
  <c r="AB57" i="14" s="1"/>
  <c r="Z56" i="14"/>
  <c r="AA56" i="14" s="1"/>
  <c r="Z55" i="14"/>
  <c r="AB55" i="14" s="1"/>
  <c r="J44" i="14"/>
  <c r="A32" i="14"/>
  <c r="I8" i="14"/>
  <c r="H8" i="14"/>
  <c r="G8" i="14"/>
  <c r="A7" i="14"/>
  <c r="A6" i="14"/>
  <c r="G26" i="8"/>
  <c r="E18" i="8"/>
  <c r="E17" i="8"/>
  <c r="E16" i="8"/>
  <c r="AB309" i="7"/>
  <c r="AA309" i="7"/>
  <c r="AB308" i="7"/>
  <c r="AA308" i="7"/>
  <c r="AB307" i="7"/>
  <c r="AA307" i="7"/>
  <c r="AB306" i="7"/>
  <c r="AA306" i="7"/>
  <c r="AB305" i="7"/>
  <c r="AA305" i="7"/>
  <c r="AB304" i="7"/>
  <c r="AA304" i="7"/>
  <c r="AB303" i="7"/>
  <c r="AA303" i="7"/>
  <c r="AB302" i="7"/>
  <c r="AA302" i="7"/>
  <c r="AB301" i="7"/>
  <c r="AA301" i="7"/>
  <c r="AB300" i="7"/>
  <c r="AA300" i="7"/>
  <c r="AB299" i="7"/>
  <c r="AA299" i="7"/>
  <c r="AB298" i="7"/>
  <c r="AA298" i="7"/>
  <c r="AB297" i="7"/>
  <c r="AA297" i="7"/>
  <c r="AB296" i="7"/>
  <c r="AA296" i="7"/>
  <c r="AB295" i="7"/>
  <c r="AA295" i="7"/>
  <c r="AB294" i="7"/>
  <c r="AA294" i="7"/>
  <c r="AB293" i="7"/>
  <c r="AA293" i="7"/>
  <c r="AB292" i="7"/>
  <c r="AA292" i="7"/>
  <c r="AB291" i="7"/>
  <c r="AA291" i="7"/>
  <c r="AB290" i="7"/>
  <c r="AA290" i="7"/>
  <c r="AB289" i="7"/>
  <c r="AA289" i="7"/>
  <c r="AB288" i="7"/>
  <c r="AA288" i="7"/>
  <c r="AB287" i="7"/>
  <c r="AA287" i="7"/>
  <c r="AB286" i="7"/>
  <c r="AA286" i="7"/>
  <c r="AB285" i="7"/>
  <c r="AA285" i="7"/>
  <c r="AB284" i="7"/>
  <c r="AA284" i="7"/>
  <c r="AB283" i="7"/>
  <c r="AA283" i="7"/>
  <c r="AB282" i="7"/>
  <c r="AA282" i="7"/>
  <c r="AB281" i="7"/>
  <c r="AA281" i="7"/>
  <c r="AB280" i="7"/>
  <c r="AA280" i="7"/>
  <c r="AB279" i="7"/>
  <c r="AA279" i="7"/>
  <c r="AB278" i="7"/>
  <c r="AA278" i="7"/>
  <c r="AB277" i="7"/>
  <c r="AA277" i="7"/>
  <c r="AB276" i="7"/>
  <c r="AA276" i="7"/>
  <c r="AC275" i="7"/>
  <c r="AB275" i="7"/>
  <c r="AA275" i="7"/>
  <c r="AB274" i="7"/>
  <c r="AA274" i="7"/>
  <c r="AB273" i="7"/>
  <c r="AA273" i="7"/>
  <c r="AB272" i="7"/>
  <c r="AA272" i="7"/>
  <c r="AB271" i="7"/>
  <c r="AA271" i="7"/>
  <c r="AB270" i="7"/>
  <c r="AA270" i="7"/>
  <c r="AB269" i="7"/>
  <c r="AA269" i="7"/>
  <c r="AB268" i="7"/>
  <c r="AA268" i="7"/>
  <c r="AC267" i="7"/>
  <c r="AB267" i="7"/>
  <c r="AA267" i="7"/>
  <c r="AB266" i="7"/>
  <c r="AA266" i="7"/>
  <c r="AB265" i="7"/>
  <c r="AA265" i="7"/>
  <c r="AB264" i="7"/>
  <c r="AA264" i="7"/>
  <c r="AB263" i="7"/>
  <c r="AA263" i="7"/>
  <c r="AB262" i="7"/>
  <c r="AA262" i="7"/>
  <c r="AB261" i="7"/>
  <c r="AA261" i="7"/>
  <c r="AB260" i="7"/>
  <c r="AA260" i="7"/>
  <c r="AB259" i="7"/>
  <c r="AA259" i="7"/>
  <c r="AB258" i="7"/>
  <c r="AA258" i="7"/>
  <c r="AB257" i="7"/>
  <c r="AA257" i="7"/>
  <c r="AB256" i="7"/>
  <c r="AA256" i="7"/>
  <c r="AB255" i="7"/>
  <c r="AA255" i="7"/>
  <c r="AB254" i="7"/>
  <c r="AA254" i="7"/>
  <c r="AB253" i="7"/>
  <c r="AA253" i="7"/>
  <c r="AB252" i="7"/>
  <c r="AA252" i="7"/>
  <c r="AB251" i="7"/>
  <c r="AA251" i="7"/>
  <c r="AB250" i="7"/>
  <c r="AA250" i="7"/>
  <c r="AB249" i="7"/>
  <c r="AA249" i="7"/>
  <c r="AB248" i="7"/>
  <c r="AA248" i="7"/>
  <c r="AB247" i="7"/>
  <c r="AA247" i="7"/>
  <c r="AB246" i="7"/>
  <c r="AA246" i="7"/>
  <c r="AB245" i="7"/>
  <c r="AA245" i="7"/>
  <c r="AB244" i="7"/>
  <c r="AA244" i="7"/>
  <c r="AB243" i="7"/>
  <c r="AA243" i="7"/>
  <c r="AB242" i="7"/>
  <c r="AA242" i="7"/>
  <c r="AB241" i="7"/>
  <c r="AA241" i="7"/>
  <c r="AB240" i="7"/>
  <c r="AA240" i="7"/>
  <c r="AB239" i="7"/>
  <c r="AA239" i="7"/>
  <c r="AB238" i="7"/>
  <c r="AA238" i="7"/>
  <c r="AB237" i="7"/>
  <c r="AA237" i="7"/>
  <c r="AB236" i="7"/>
  <c r="AA236" i="7"/>
  <c r="AB235" i="7"/>
  <c r="AA235" i="7"/>
  <c r="AB234" i="7"/>
  <c r="AA234" i="7"/>
  <c r="AB233" i="7"/>
  <c r="AA233" i="7"/>
  <c r="AB232" i="7"/>
  <c r="AA232" i="7"/>
  <c r="AB231" i="7"/>
  <c r="AA231" i="7"/>
  <c r="AB230" i="7"/>
  <c r="AA230" i="7"/>
  <c r="AB229" i="7"/>
  <c r="AA229" i="7"/>
  <c r="AB228" i="7"/>
  <c r="AA228" i="7"/>
  <c r="AB227" i="7"/>
  <c r="AA227" i="7"/>
  <c r="AB226" i="7"/>
  <c r="AA226" i="7"/>
  <c r="AB225" i="7"/>
  <c r="AA225" i="7"/>
  <c r="AB224" i="7"/>
  <c r="AA224" i="7"/>
  <c r="AB223" i="7"/>
  <c r="AA223" i="7"/>
  <c r="AB222" i="7"/>
  <c r="AA222" i="7"/>
  <c r="AB221" i="7"/>
  <c r="AA221" i="7"/>
  <c r="AC220" i="7"/>
  <c r="AB220" i="7"/>
  <c r="AA220" i="7"/>
  <c r="AB219" i="7"/>
  <c r="AA219" i="7"/>
  <c r="AB218" i="7"/>
  <c r="AA218" i="7"/>
  <c r="AB217" i="7"/>
  <c r="AA217" i="7"/>
  <c r="AB216" i="7"/>
  <c r="AA216" i="7"/>
  <c r="AB215" i="7"/>
  <c r="AA215" i="7"/>
  <c r="AB214" i="7"/>
  <c r="AA214" i="7"/>
  <c r="AB213" i="7"/>
  <c r="AA213" i="7"/>
  <c r="AC212" i="7"/>
  <c r="AB212" i="7"/>
  <c r="AA212" i="7"/>
  <c r="AB211" i="7"/>
  <c r="AA211" i="7"/>
  <c r="AB210" i="7"/>
  <c r="AA210" i="7"/>
  <c r="AB209" i="7"/>
  <c r="AA209" i="7"/>
  <c r="AB208" i="7"/>
  <c r="AA208" i="7"/>
  <c r="AB207" i="7"/>
  <c r="AA207" i="7"/>
  <c r="AB206" i="7"/>
  <c r="AA206" i="7"/>
  <c r="AB205" i="7"/>
  <c r="AA205" i="7"/>
  <c r="AC204" i="7"/>
  <c r="AB204" i="7"/>
  <c r="AA204" i="7"/>
  <c r="AB203" i="7"/>
  <c r="AA203" i="7"/>
  <c r="AB202" i="7"/>
  <c r="AA202" i="7"/>
  <c r="AB201" i="7"/>
  <c r="AA201" i="7"/>
  <c r="AB200" i="7"/>
  <c r="AA200" i="7"/>
  <c r="AB199" i="7"/>
  <c r="AA199" i="7"/>
  <c r="AB198" i="7"/>
  <c r="AA198" i="7"/>
  <c r="AB197" i="7"/>
  <c r="AA197" i="7"/>
  <c r="AB196" i="7"/>
  <c r="AA196" i="7"/>
  <c r="AB195" i="7"/>
  <c r="AA195" i="7"/>
  <c r="AB194" i="7"/>
  <c r="AA194" i="7"/>
  <c r="AB193" i="7"/>
  <c r="AA193" i="7"/>
  <c r="AB192" i="7"/>
  <c r="AA192" i="7"/>
  <c r="AB191" i="7"/>
  <c r="AA191" i="7"/>
  <c r="AB190" i="7"/>
  <c r="AA190" i="7"/>
  <c r="AB189" i="7"/>
  <c r="AA189" i="7"/>
  <c r="AB188" i="7"/>
  <c r="AA188" i="7"/>
  <c r="AB187" i="7"/>
  <c r="AA187" i="7"/>
  <c r="AB186" i="7"/>
  <c r="AA186" i="7"/>
  <c r="AB185" i="7"/>
  <c r="AA185" i="7"/>
  <c r="AB184" i="7"/>
  <c r="AA184" i="7"/>
  <c r="AB183" i="7"/>
  <c r="AA183" i="7"/>
  <c r="AB182" i="7"/>
  <c r="AA182" i="7"/>
  <c r="AB181" i="7"/>
  <c r="AA181" i="7"/>
  <c r="AB180" i="7"/>
  <c r="AA180" i="7"/>
  <c r="AB179" i="7"/>
  <c r="AA179" i="7"/>
  <c r="AB178" i="7"/>
  <c r="AA178" i="7"/>
  <c r="AB177" i="7"/>
  <c r="AA177" i="7"/>
  <c r="AB176" i="7"/>
  <c r="AA176" i="7"/>
  <c r="AB175" i="7"/>
  <c r="AA175" i="7"/>
  <c r="AB174" i="7"/>
  <c r="AA174" i="7"/>
  <c r="AB173" i="7"/>
  <c r="AA173" i="7"/>
  <c r="AB172" i="7"/>
  <c r="AA172" i="7"/>
  <c r="AB171" i="7"/>
  <c r="AA171" i="7"/>
  <c r="AB170" i="7"/>
  <c r="AA170" i="7"/>
  <c r="AB169" i="7"/>
  <c r="AA169" i="7"/>
  <c r="AB168" i="7"/>
  <c r="AA168" i="7"/>
  <c r="AB167" i="7"/>
  <c r="AA167" i="7"/>
  <c r="AB166" i="7"/>
  <c r="AA166" i="7"/>
  <c r="AB165" i="7"/>
  <c r="AA165" i="7"/>
  <c r="AB164" i="7"/>
  <c r="AA164" i="7"/>
  <c r="AB163" i="7"/>
  <c r="AA163" i="7"/>
  <c r="AB162" i="7"/>
  <c r="AA162" i="7"/>
  <c r="AB161" i="7"/>
  <c r="AA161" i="7"/>
  <c r="AB160" i="7"/>
  <c r="AA160" i="7"/>
  <c r="AB159" i="7"/>
  <c r="AA159" i="7"/>
  <c r="AB158" i="7"/>
  <c r="AA158" i="7"/>
  <c r="AB157" i="7"/>
  <c r="AA157" i="7"/>
  <c r="AB156" i="7"/>
  <c r="AA156" i="7"/>
  <c r="AB155" i="7"/>
  <c r="AA155" i="7"/>
  <c r="AB154" i="7"/>
  <c r="AA154" i="7"/>
  <c r="AB153" i="7"/>
  <c r="AA153" i="7"/>
  <c r="AB152" i="7"/>
  <c r="AA152" i="7"/>
  <c r="AB151" i="7"/>
  <c r="AA151" i="7"/>
  <c r="AB150" i="7"/>
  <c r="AA150" i="7"/>
  <c r="AB149" i="7"/>
  <c r="AA149" i="7"/>
  <c r="AB148" i="7"/>
  <c r="AA148" i="7"/>
  <c r="AB147" i="7"/>
  <c r="AA147" i="7"/>
  <c r="AB146" i="7"/>
  <c r="AA146" i="7"/>
  <c r="AB145" i="7"/>
  <c r="AA145" i="7"/>
  <c r="AB144" i="7"/>
  <c r="AA144" i="7"/>
  <c r="AB143" i="7"/>
  <c r="AA143" i="7"/>
  <c r="AB142" i="7"/>
  <c r="AA142" i="7"/>
  <c r="AB141" i="7"/>
  <c r="AA141" i="7"/>
  <c r="AB140" i="7"/>
  <c r="AA140" i="7"/>
  <c r="AB139" i="7"/>
  <c r="AA139" i="7"/>
  <c r="AB138" i="7"/>
  <c r="AA138" i="7"/>
  <c r="AB137" i="7"/>
  <c r="AA137" i="7"/>
  <c r="AB136" i="7"/>
  <c r="AA136" i="7"/>
  <c r="AB135" i="7"/>
  <c r="AA135" i="7"/>
  <c r="AB134" i="7"/>
  <c r="AA134" i="7"/>
  <c r="AB133" i="7"/>
  <c r="AA133" i="7"/>
  <c r="AB132" i="7"/>
  <c r="AA132" i="7"/>
  <c r="AB131" i="7"/>
  <c r="AA131" i="7"/>
  <c r="AB130" i="7"/>
  <c r="AA130" i="7"/>
  <c r="AB129" i="7"/>
  <c r="AA129" i="7"/>
  <c r="AB128" i="7"/>
  <c r="AA128" i="7"/>
  <c r="AB127" i="7"/>
  <c r="AA127" i="7"/>
  <c r="AB126" i="7"/>
  <c r="AA126" i="7"/>
  <c r="AB125" i="7"/>
  <c r="AA125" i="7"/>
  <c r="AB124" i="7"/>
  <c r="AA124" i="7"/>
  <c r="AB123" i="7"/>
  <c r="AA123" i="7"/>
  <c r="AB122" i="7"/>
  <c r="AA122" i="7"/>
  <c r="AB121" i="7"/>
  <c r="AA121" i="7"/>
  <c r="AB120" i="7"/>
  <c r="AA120" i="7"/>
  <c r="AB119" i="7"/>
  <c r="AA119" i="7"/>
  <c r="AB118" i="7"/>
  <c r="AA118" i="7"/>
  <c r="AB117" i="7"/>
  <c r="AA117" i="7"/>
  <c r="AB116" i="7"/>
  <c r="AA116" i="7"/>
  <c r="AB115" i="7"/>
  <c r="AA115" i="7"/>
  <c r="AB114" i="7"/>
  <c r="AA114" i="7"/>
  <c r="AB113" i="7"/>
  <c r="AA113" i="7"/>
  <c r="AB112" i="7"/>
  <c r="AA112" i="7"/>
  <c r="AB111" i="7"/>
  <c r="AA111" i="7"/>
  <c r="AB110" i="7"/>
  <c r="AA110" i="7"/>
  <c r="AB109" i="7"/>
  <c r="AA109" i="7"/>
  <c r="AB108" i="7"/>
  <c r="AA108" i="7"/>
  <c r="AB107" i="7"/>
  <c r="AA107" i="7"/>
  <c r="AB106" i="7"/>
  <c r="AA106" i="7"/>
  <c r="AB105" i="7"/>
  <c r="AA105" i="7"/>
  <c r="AB104" i="7"/>
  <c r="AA104" i="7"/>
  <c r="AB103" i="7"/>
  <c r="AA103" i="7"/>
  <c r="AB102" i="7"/>
  <c r="AA102" i="7"/>
  <c r="AB101" i="7"/>
  <c r="AA101" i="7"/>
  <c r="AB100" i="7"/>
  <c r="AA100" i="7"/>
  <c r="AB99" i="7"/>
  <c r="AA99" i="7"/>
  <c r="AB98" i="7"/>
  <c r="AA98" i="7"/>
  <c r="AB97" i="7"/>
  <c r="AA97" i="7"/>
  <c r="AB96" i="7"/>
  <c r="AA96" i="7"/>
  <c r="AB95" i="7"/>
  <c r="AA95" i="7"/>
  <c r="AB94" i="7"/>
  <c r="AA94" i="7"/>
  <c r="AB93" i="7"/>
  <c r="AA93" i="7"/>
  <c r="AB92" i="7"/>
  <c r="AA92" i="7"/>
  <c r="AB91" i="7"/>
  <c r="AA91" i="7"/>
  <c r="AB90" i="7"/>
  <c r="AA90" i="7"/>
  <c r="AB89" i="7"/>
  <c r="AA89" i="7"/>
  <c r="AB88" i="7"/>
  <c r="AA88" i="7"/>
  <c r="AB87" i="7"/>
  <c r="AA87" i="7"/>
  <c r="AB86" i="7"/>
  <c r="AA86" i="7"/>
  <c r="AB85" i="7"/>
  <c r="AA85" i="7"/>
  <c r="AB84" i="7"/>
  <c r="AA84" i="7"/>
  <c r="AB83" i="7"/>
  <c r="AA83" i="7"/>
  <c r="AB82" i="7"/>
  <c r="AA82" i="7"/>
  <c r="AB81" i="7"/>
  <c r="AA81" i="7"/>
  <c r="AB80" i="7"/>
  <c r="AA80" i="7"/>
  <c r="AC79" i="7"/>
  <c r="AB79" i="7"/>
  <c r="AA79" i="7"/>
  <c r="AB78" i="7"/>
  <c r="AA78" i="7"/>
  <c r="AB77" i="7"/>
  <c r="AA77" i="7"/>
  <c r="AB76" i="7"/>
  <c r="AA76" i="7"/>
  <c r="AB75" i="7"/>
  <c r="AA75" i="7"/>
  <c r="AB74" i="7"/>
  <c r="AA74" i="7"/>
  <c r="AB73" i="7"/>
  <c r="AA73" i="7"/>
  <c r="AB72" i="7"/>
  <c r="AA72" i="7"/>
  <c r="AC71" i="7"/>
  <c r="AB71" i="7"/>
  <c r="AA71" i="7"/>
  <c r="AB70" i="7"/>
  <c r="AA70" i="7"/>
  <c r="AB69" i="7"/>
  <c r="AA69" i="7"/>
  <c r="AB68" i="7"/>
  <c r="AA68" i="7"/>
  <c r="AB67" i="7"/>
  <c r="AA67" i="7"/>
  <c r="AB66" i="7"/>
  <c r="AA66" i="7"/>
  <c r="AB65" i="7"/>
  <c r="AA65" i="7"/>
  <c r="AB64" i="7"/>
  <c r="AA64" i="7"/>
  <c r="AC63" i="7"/>
  <c r="AB63" i="7"/>
  <c r="AA63" i="7"/>
  <c r="AB62" i="7"/>
  <c r="AA62" i="7"/>
  <c r="AB61" i="7"/>
  <c r="AA61" i="7"/>
  <c r="AB60" i="7"/>
  <c r="AA60" i="7"/>
  <c r="AB59" i="7"/>
  <c r="AA59" i="7"/>
  <c r="AB58" i="7"/>
  <c r="AA58" i="7"/>
  <c r="AB57" i="7"/>
  <c r="AA57" i="7"/>
  <c r="AB56" i="7"/>
  <c r="AA56" i="7"/>
  <c r="AB55" i="7"/>
  <c r="AA55" i="7"/>
  <c r="AB54" i="7"/>
  <c r="AA54" i="7"/>
  <c r="AB53" i="7"/>
  <c r="AA53" i="7"/>
  <c r="AB52" i="7"/>
  <c r="AA52" i="7"/>
  <c r="AB51" i="7"/>
  <c r="AA51" i="7"/>
  <c r="AB50" i="7"/>
  <c r="AA50" i="7"/>
  <c r="AB49" i="7"/>
  <c r="AA49" i="7"/>
  <c r="AB48" i="7"/>
  <c r="AA48" i="7"/>
  <c r="AB47" i="7"/>
  <c r="AA47" i="7"/>
  <c r="AB46" i="7"/>
  <c r="AA46" i="7"/>
  <c r="AB45" i="7"/>
  <c r="AA45" i="7"/>
  <c r="AB44" i="7"/>
  <c r="AA44" i="7"/>
  <c r="AB43" i="7"/>
  <c r="AA43" i="7"/>
  <c r="AB42" i="7"/>
  <c r="AA42" i="7"/>
  <c r="AB41" i="7"/>
  <c r="AA41" i="7"/>
  <c r="AB40" i="7"/>
  <c r="AA40" i="7"/>
  <c r="AB39" i="7"/>
  <c r="AA39" i="7"/>
  <c r="AB38" i="7"/>
  <c r="AA38" i="7"/>
  <c r="AB37" i="7"/>
  <c r="AA37" i="7"/>
  <c r="AC36" i="7"/>
  <c r="AB36" i="7"/>
  <c r="AA36" i="7"/>
  <c r="C36" i="7"/>
  <c r="AB35" i="7"/>
  <c r="AA35" i="7"/>
  <c r="C35" i="7"/>
  <c r="AB34" i="7"/>
  <c r="AA34" i="7"/>
  <c r="C34" i="7"/>
  <c r="AB33" i="7"/>
  <c r="AA33" i="7"/>
  <c r="AB32" i="7"/>
  <c r="AA32" i="7"/>
  <c r="AB31" i="7"/>
  <c r="AA31" i="7"/>
  <c r="AB30" i="7"/>
  <c r="AA30" i="7"/>
  <c r="AB29" i="7"/>
  <c r="AA29" i="7"/>
  <c r="AB28" i="7"/>
  <c r="AA28" i="7"/>
  <c r="C28" i="7"/>
  <c r="AB27" i="7"/>
  <c r="AA27" i="7"/>
  <c r="C27" i="7"/>
  <c r="AB26" i="7"/>
  <c r="AA26" i="7"/>
  <c r="C26" i="7"/>
  <c r="AC25" i="7"/>
  <c r="AB25" i="7"/>
  <c r="AA25" i="7"/>
  <c r="C25" i="7"/>
  <c r="AB24" i="7"/>
  <c r="AA24" i="7"/>
  <c r="AB23" i="7"/>
  <c r="AA23" i="7"/>
  <c r="AB22" i="7"/>
  <c r="AA22" i="7"/>
  <c r="AB21" i="7"/>
  <c r="AA21" i="7"/>
  <c r="AB20" i="7"/>
  <c r="AA20" i="7"/>
  <c r="AB19" i="7"/>
  <c r="AA19" i="7"/>
  <c r="AB18" i="7"/>
  <c r="AA18" i="7"/>
  <c r="AB17" i="7"/>
  <c r="AA17" i="7"/>
  <c r="AB16" i="7"/>
  <c r="AA16" i="7"/>
  <c r="AB15" i="7"/>
  <c r="AA15" i="7"/>
  <c r="AB14" i="7"/>
  <c r="AA14" i="7"/>
  <c r="C14" i="7"/>
  <c r="AB13" i="7"/>
  <c r="AA13" i="7"/>
  <c r="AB12" i="7"/>
  <c r="AA12" i="7"/>
  <c r="AB11" i="7"/>
  <c r="AA11" i="7"/>
  <c r="C11" i="7"/>
  <c r="AC10" i="7"/>
  <c r="AB10" i="7"/>
  <c r="AA10" i="7"/>
  <c r="AB9" i="7"/>
  <c r="AA9" i="7"/>
  <c r="C8" i="7"/>
  <c r="U51" i="3"/>
  <c r="T51" i="3"/>
  <c r="C51" i="3"/>
  <c r="A51" i="3"/>
  <c r="J51" i="3" s="1"/>
  <c r="U50" i="3"/>
  <c r="T50" i="3"/>
  <c r="C50" i="3"/>
  <c r="H50" i="3" s="1"/>
  <c r="A50" i="3"/>
  <c r="U49" i="3"/>
  <c r="T49" i="3"/>
  <c r="C49" i="3"/>
  <c r="A49" i="3"/>
  <c r="U48" i="3"/>
  <c r="T48" i="3"/>
  <c r="C48" i="3"/>
  <c r="A48" i="3"/>
  <c r="U47" i="3"/>
  <c r="T47" i="3"/>
  <c r="C47" i="3"/>
  <c r="H47" i="3" s="1"/>
  <c r="A47" i="3"/>
  <c r="U46" i="3"/>
  <c r="T46" i="3"/>
  <c r="C46" i="3"/>
  <c r="A46" i="3"/>
  <c r="U45" i="3"/>
  <c r="T45" i="3"/>
  <c r="C45" i="3"/>
  <c r="A45" i="3"/>
  <c r="U44" i="3"/>
  <c r="T44" i="3"/>
  <c r="C44" i="3"/>
  <c r="H44" i="3" s="1"/>
  <c r="A44" i="3"/>
  <c r="U43" i="3"/>
  <c r="T43" i="3"/>
  <c r="C43" i="3"/>
  <c r="A43" i="3"/>
  <c r="U42" i="3"/>
  <c r="T42" i="3"/>
  <c r="C42" i="3"/>
  <c r="A42" i="3"/>
  <c r="U41" i="3"/>
  <c r="T41" i="3"/>
  <c r="C41" i="3"/>
  <c r="A41" i="3"/>
  <c r="J41" i="3" s="1"/>
  <c r="U40" i="3"/>
  <c r="T40" i="3"/>
  <c r="C40" i="3"/>
  <c r="H40" i="3" s="1"/>
  <c r="A40" i="3"/>
  <c r="U39" i="3"/>
  <c r="T39" i="3"/>
  <c r="C39" i="3"/>
  <c r="H39" i="3" s="1"/>
  <c r="A39" i="3"/>
  <c r="U38" i="3"/>
  <c r="T38" i="3"/>
  <c r="C38" i="3"/>
  <c r="A38" i="3"/>
  <c r="U37" i="3"/>
  <c r="T37" i="3"/>
  <c r="C37" i="3"/>
  <c r="A37" i="3"/>
  <c r="U36" i="3"/>
  <c r="T36" i="3"/>
  <c r="C36" i="3"/>
  <c r="H36" i="3" s="1"/>
  <c r="A36" i="3"/>
  <c r="U35" i="3"/>
  <c r="T35" i="3"/>
  <c r="C35" i="3"/>
  <c r="A35" i="3"/>
  <c r="U34" i="3"/>
  <c r="T34" i="3"/>
  <c r="C34" i="3"/>
  <c r="A34" i="3"/>
  <c r="U33" i="3"/>
  <c r="T33" i="3"/>
  <c r="C33" i="3"/>
  <c r="A33" i="3"/>
  <c r="U32" i="3"/>
  <c r="T32" i="3"/>
  <c r="C32" i="3"/>
  <c r="H32" i="3" s="1"/>
  <c r="A32" i="3"/>
  <c r="U31" i="3"/>
  <c r="T31" i="3"/>
  <c r="C31" i="3"/>
  <c r="V31" i="3" s="1"/>
  <c r="W31" i="3" s="1"/>
  <c r="AT31" i="3" s="1"/>
  <c r="A31" i="3"/>
  <c r="J31" i="3" s="1"/>
  <c r="U30" i="3"/>
  <c r="T30" i="3"/>
  <c r="C30" i="3"/>
  <c r="E30" i="3" s="1"/>
  <c r="A30" i="3"/>
  <c r="U29" i="3"/>
  <c r="T29" i="3"/>
  <c r="C29" i="3"/>
  <c r="A29" i="3"/>
  <c r="U28" i="3"/>
  <c r="T28" i="3"/>
  <c r="C28" i="3"/>
  <c r="A28" i="3"/>
  <c r="U27" i="3"/>
  <c r="T27" i="3"/>
  <c r="C27" i="3"/>
  <c r="A27" i="3"/>
  <c r="U26" i="3"/>
  <c r="T26" i="3"/>
  <c r="C26" i="3"/>
  <c r="H26" i="3" s="1"/>
  <c r="A26" i="3"/>
  <c r="U25" i="3"/>
  <c r="T25" i="3"/>
  <c r="C25" i="3"/>
  <c r="H25" i="3" s="1"/>
  <c r="A25" i="3"/>
  <c r="U24" i="3"/>
  <c r="T24" i="3"/>
  <c r="C24" i="3"/>
  <c r="A24" i="3"/>
  <c r="U23" i="3"/>
  <c r="T23" i="3"/>
  <c r="C23" i="3"/>
  <c r="H23" i="3" s="1"/>
  <c r="A23" i="3"/>
  <c r="U22" i="3"/>
  <c r="T22" i="3"/>
  <c r="C22" i="3"/>
  <c r="A22" i="3"/>
  <c r="J22" i="3" s="1"/>
  <c r="U21" i="3"/>
  <c r="T21" i="3"/>
  <c r="C21" i="3"/>
  <c r="A21" i="3"/>
  <c r="U20" i="3"/>
  <c r="T20" i="3"/>
  <c r="C20" i="3"/>
  <c r="A20" i="3"/>
  <c r="U19" i="3"/>
  <c r="T19" i="3"/>
  <c r="C19" i="3"/>
  <c r="A19" i="3"/>
  <c r="J19" i="3" s="1"/>
  <c r="U18" i="3"/>
  <c r="T18" i="3"/>
  <c r="C18" i="3"/>
  <c r="H18" i="3" s="1"/>
  <c r="A18" i="3"/>
  <c r="U17" i="3"/>
  <c r="T17" i="3"/>
  <c r="C17" i="3"/>
  <c r="A17" i="3"/>
  <c r="U16" i="3"/>
  <c r="T16" i="3"/>
  <c r="C16" i="3"/>
  <c r="H16" i="3" s="1"/>
  <c r="A16" i="3"/>
  <c r="U15" i="3"/>
  <c r="T15" i="3"/>
  <c r="C15" i="3"/>
  <c r="A15" i="3"/>
  <c r="U14" i="3"/>
  <c r="T14" i="3"/>
  <c r="C14" i="3"/>
  <c r="A14" i="3"/>
  <c r="U13" i="3"/>
  <c r="T13" i="3"/>
  <c r="C13" i="3"/>
  <c r="H13" i="3" s="1"/>
  <c r="A13" i="3"/>
  <c r="U12" i="3"/>
  <c r="T12" i="3"/>
  <c r="C12" i="3"/>
  <c r="A12" i="3"/>
  <c r="U11" i="3"/>
  <c r="T11" i="3"/>
  <c r="C11" i="3"/>
  <c r="A11" i="3"/>
  <c r="U10" i="3"/>
  <c r="T10" i="3"/>
  <c r="C10" i="3"/>
  <c r="H10" i="3" s="1"/>
  <c r="A10" i="3"/>
  <c r="U9" i="3"/>
  <c r="T9" i="3"/>
  <c r="C9" i="3"/>
  <c r="E9" i="3" s="1"/>
  <c r="A9" i="3"/>
  <c r="U8" i="3"/>
  <c r="T8" i="3"/>
  <c r="C8" i="3"/>
  <c r="H8" i="3" s="1"/>
  <c r="A8" i="3"/>
  <c r="AX7" i="3"/>
  <c r="AZ8" i="3" s="1"/>
  <c r="AG7" i="3"/>
  <c r="U7" i="3"/>
  <c r="T7" i="3"/>
  <c r="C7" i="3"/>
  <c r="A7" i="3"/>
  <c r="K56" i="5"/>
  <c r="K55" i="5"/>
  <c r="K54" i="5"/>
  <c r="K53" i="5"/>
  <c r="K52" i="5"/>
  <c r="K51" i="5"/>
  <c r="K50" i="5"/>
  <c r="I47" i="5"/>
  <c r="I46" i="5"/>
  <c r="K46" i="5" s="1"/>
  <c r="K45" i="5"/>
  <c r="I45" i="5"/>
  <c r="I44" i="5"/>
  <c r="K44" i="5" s="1"/>
  <c r="K43" i="5"/>
  <c r="I42" i="5"/>
  <c r="K42" i="5" s="1"/>
  <c r="I41" i="5"/>
  <c r="K41" i="5" s="1"/>
  <c r="I40" i="5"/>
  <c r="A34" i="14" s="1"/>
  <c r="I39" i="5"/>
  <c r="A33" i="14" s="1"/>
  <c r="R38" i="5"/>
  <c r="I38" i="5"/>
  <c r="K38" i="5" s="1"/>
  <c r="R37" i="5"/>
  <c r="I37" i="5"/>
  <c r="AC27" i="7" s="1"/>
  <c r="R36" i="5"/>
  <c r="L36" i="5"/>
  <c r="K35" i="5"/>
  <c r="H28" i="5"/>
  <c r="G10" i="5" s="1"/>
  <c r="H27" i="5"/>
  <c r="G9" i="5" s="1"/>
  <c r="K24" i="5"/>
  <c r="H24" i="5"/>
  <c r="C13" i="5" s="1"/>
  <c r="C16" i="5" s="1"/>
  <c r="K23" i="5"/>
  <c r="H23" i="5"/>
  <c r="K22" i="5"/>
  <c r="H22" i="5"/>
  <c r="K20" i="5"/>
  <c r="H20" i="5"/>
  <c r="K19" i="5"/>
  <c r="H19" i="5"/>
  <c r="AD30" i="7" s="1"/>
  <c r="G19" i="5"/>
  <c r="K18" i="5"/>
  <c r="H18" i="5"/>
  <c r="L18" i="5" s="1"/>
  <c r="K17" i="5"/>
  <c r="H17" i="5"/>
  <c r="K16" i="5"/>
  <c r="H16" i="5"/>
  <c r="K15" i="5"/>
  <c r="H15" i="5"/>
  <c r="L15" i="5" s="1"/>
  <c r="C15" i="5"/>
  <c r="K13" i="5"/>
  <c r="H13" i="5"/>
  <c r="E21" i="1" s="1"/>
  <c r="K12" i="5"/>
  <c r="H12" i="5"/>
  <c r="K11" i="5"/>
  <c r="K8" i="5"/>
  <c r="K7" i="5"/>
  <c r="K6" i="5"/>
  <c r="N5" i="5"/>
  <c r="O5" i="5" s="1"/>
  <c r="K5" i="5"/>
  <c r="J47" i="4"/>
  <c r="K47" i="4" s="1"/>
  <c r="L47" i="4" s="1"/>
  <c r="J46" i="4"/>
  <c r="M46" i="4" s="1"/>
  <c r="J45" i="4"/>
  <c r="K45" i="4" s="1"/>
  <c r="L45" i="4" s="1"/>
  <c r="J44" i="4"/>
  <c r="K44" i="4" s="1"/>
  <c r="L44" i="4" s="1"/>
  <c r="J43" i="4"/>
  <c r="M43" i="4" s="1"/>
  <c r="J42" i="4"/>
  <c r="K42" i="4" s="1"/>
  <c r="L42" i="4" s="1"/>
  <c r="J41" i="4"/>
  <c r="K41" i="4" s="1"/>
  <c r="L41" i="4" s="1"/>
  <c r="J40" i="4"/>
  <c r="M40" i="4" s="1"/>
  <c r="J39" i="4"/>
  <c r="K39" i="4" s="1"/>
  <c r="L39" i="4" s="1"/>
  <c r="J38" i="4"/>
  <c r="K38" i="4" s="1"/>
  <c r="L38" i="4" s="1"/>
  <c r="J37" i="4"/>
  <c r="M37" i="4" s="1"/>
  <c r="J36" i="4"/>
  <c r="K36" i="4" s="1"/>
  <c r="L36" i="4" s="1"/>
  <c r="J35" i="4"/>
  <c r="K35" i="4" s="1"/>
  <c r="L35" i="4" s="1"/>
  <c r="J34" i="4"/>
  <c r="M34" i="4" s="1"/>
  <c r="J33" i="4"/>
  <c r="K33" i="4" s="1"/>
  <c r="L33" i="4" s="1"/>
  <c r="J32" i="4"/>
  <c r="K32" i="4" s="1"/>
  <c r="L32" i="4" s="1"/>
  <c r="J31" i="4"/>
  <c r="M31" i="4" s="1"/>
  <c r="J30" i="4"/>
  <c r="K30" i="4" s="1"/>
  <c r="L30" i="4" s="1"/>
  <c r="J29" i="4"/>
  <c r="K29" i="4" s="1"/>
  <c r="L29" i="4" s="1"/>
  <c r="J28" i="4"/>
  <c r="M28" i="4" s="1"/>
  <c r="J27" i="4"/>
  <c r="M27" i="4" s="1"/>
  <c r="J26" i="4"/>
  <c r="K26" i="4" s="1"/>
  <c r="L26" i="4" s="1"/>
  <c r="J25" i="4"/>
  <c r="M25" i="4" s="1"/>
  <c r="J24" i="4"/>
  <c r="M24" i="4" s="1"/>
  <c r="J23" i="4"/>
  <c r="K23" i="4" s="1"/>
  <c r="L23" i="4" s="1"/>
  <c r="J22" i="4"/>
  <c r="M22" i="4" s="1"/>
  <c r="J21" i="4"/>
  <c r="M21" i="4" s="1"/>
  <c r="J20" i="4"/>
  <c r="K20" i="4" s="1"/>
  <c r="L20" i="4" s="1"/>
  <c r="J19" i="4"/>
  <c r="M19" i="4" s="1"/>
  <c r="J18" i="4"/>
  <c r="M18" i="4" s="1"/>
  <c r="J17" i="4"/>
  <c r="K17" i="4" s="1"/>
  <c r="L17" i="4" s="1"/>
  <c r="J16" i="4"/>
  <c r="M16" i="4" s="1"/>
  <c r="J15" i="4"/>
  <c r="M15" i="4" s="1"/>
  <c r="J14" i="4"/>
  <c r="K14" i="4" s="1"/>
  <c r="L14" i="4" s="1"/>
  <c r="J13" i="4"/>
  <c r="M13" i="4" s="1"/>
  <c r="J12" i="4"/>
  <c r="M12" i="4" s="1"/>
  <c r="J11" i="4"/>
  <c r="K11" i="4" s="1"/>
  <c r="L11" i="4" s="1"/>
  <c r="J10" i="4"/>
  <c r="M10" i="4" s="1"/>
  <c r="J9" i="4"/>
  <c r="M9" i="4" s="1"/>
  <c r="J8" i="4"/>
  <c r="K8" i="4" s="1"/>
  <c r="L8" i="4" s="1"/>
  <c r="J7" i="4"/>
  <c r="M7" i="4" s="1"/>
  <c r="J6" i="4"/>
  <c r="M6" i="4" s="1"/>
  <c r="J5" i="4"/>
  <c r="K5" i="4" s="1"/>
  <c r="L5" i="4" s="1"/>
  <c r="J4" i="4"/>
  <c r="M4" i="4" s="1"/>
  <c r="J3" i="4"/>
  <c r="M3" i="4" s="1"/>
  <c r="L55" i="5"/>
  <c r="P43" i="3" l="1"/>
  <c r="J43" i="3"/>
  <c r="P48" i="3"/>
  <c r="J48" i="3"/>
  <c r="P8" i="3"/>
  <c r="J8" i="3"/>
  <c r="P29" i="3"/>
  <c r="J29" i="3"/>
  <c r="P28" i="3"/>
  <c r="J28" i="3"/>
  <c r="P44" i="3"/>
  <c r="J44" i="3"/>
  <c r="P23" i="3"/>
  <c r="J23" i="3"/>
  <c r="P24" i="3"/>
  <c r="J24" i="3"/>
  <c r="P33" i="3"/>
  <c r="J33" i="3"/>
  <c r="P30" i="3"/>
  <c r="J30" i="3"/>
  <c r="P35" i="3"/>
  <c r="J35" i="3"/>
  <c r="P40" i="3"/>
  <c r="J40" i="3"/>
  <c r="P45" i="3"/>
  <c r="J45" i="3"/>
  <c r="P50" i="3"/>
  <c r="J50" i="3"/>
  <c r="P13" i="3"/>
  <c r="J13" i="3"/>
  <c r="P39" i="3"/>
  <c r="J39" i="3"/>
  <c r="Q54" i="3"/>
  <c r="R54" i="3"/>
  <c r="P14" i="3"/>
  <c r="J14" i="3"/>
  <c r="P16" i="3"/>
  <c r="J16" i="3"/>
  <c r="P21" i="3"/>
  <c r="J21" i="3"/>
  <c r="P26" i="3"/>
  <c r="J26" i="3"/>
  <c r="P36" i="3"/>
  <c r="J36" i="3"/>
  <c r="P46" i="3"/>
  <c r="J46" i="3"/>
  <c r="P34" i="3"/>
  <c r="J34" i="3"/>
  <c r="P10" i="3"/>
  <c r="J10" i="3"/>
  <c r="Q55" i="3"/>
  <c r="R55" i="3"/>
  <c r="P18" i="3"/>
  <c r="J18" i="3"/>
  <c r="J7" i="3"/>
  <c r="P38" i="3"/>
  <c r="J38" i="3"/>
  <c r="P49" i="3"/>
  <c r="J49" i="3"/>
  <c r="P15" i="3"/>
  <c r="J15" i="3"/>
  <c r="P9" i="3"/>
  <c r="J9" i="3"/>
  <c r="P20" i="3"/>
  <c r="J20" i="3"/>
  <c r="P11" i="3"/>
  <c r="J11" i="3"/>
  <c r="P12" i="3"/>
  <c r="J12" i="3"/>
  <c r="P17" i="3"/>
  <c r="J17" i="3"/>
  <c r="P27" i="3"/>
  <c r="J27" i="3"/>
  <c r="P32" i="3"/>
  <c r="J32" i="3"/>
  <c r="P37" i="3"/>
  <c r="J37" i="3"/>
  <c r="P42" i="3"/>
  <c r="J42" i="3"/>
  <c r="P47" i="3"/>
  <c r="J47" i="3"/>
  <c r="Q56" i="3"/>
  <c r="R56" i="3"/>
  <c r="P25" i="3"/>
  <c r="J25" i="3"/>
  <c r="G54" i="3"/>
  <c r="G57" i="3"/>
  <c r="G56" i="3"/>
  <c r="G55" i="3"/>
  <c r="AU55" i="3"/>
  <c r="AW55" i="3" s="1"/>
  <c r="AC55" i="3"/>
  <c r="AB55" i="3" s="1"/>
  <c r="AA54" i="3"/>
  <c r="M49" i="4"/>
  <c r="M41" i="4"/>
  <c r="X42" i="3"/>
  <c r="P7" i="3"/>
  <c r="AH8" i="3"/>
  <c r="M8" i="4"/>
  <c r="V36" i="3"/>
  <c r="W36" i="3" s="1"/>
  <c r="AT36" i="3" s="1"/>
  <c r="M17" i="4"/>
  <c r="P8" i="21"/>
  <c r="Q8" i="21"/>
  <c r="Q30" i="21"/>
  <c r="P30" i="21"/>
  <c r="Q12" i="21"/>
  <c r="P12" i="21"/>
  <c r="AB52" i="21"/>
  <c r="AT52" i="21"/>
  <c r="AV52" i="21" s="1"/>
  <c r="Z51" i="21"/>
  <c r="Q34" i="21"/>
  <c r="P34" i="21"/>
  <c r="P11" i="21"/>
  <c r="Q11" i="21"/>
  <c r="P20" i="21"/>
  <c r="Q20" i="21"/>
  <c r="P15" i="21"/>
  <c r="Q15" i="21"/>
  <c r="K3" i="21"/>
  <c r="Q7" i="21"/>
  <c r="P7" i="21"/>
  <c r="P52" i="21"/>
  <c r="P9" i="21"/>
  <c r="P23" i="21"/>
  <c r="P24" i="21"/>
  <c r="P27" i="21"/>
  <c r="I18" i="3"/>
  <c r="M18" i="3"/>
  <c r="R18" i="3" s="1"/>
  <c r="Z51" i="3"/>
  <c r="AS51" i="3" s="1"/>
  <c r="P51" i="3"/>
  <c r="AE7" i="3"/>
  <c r="Z19" i="3"/>
  <c r="AS19" i="3" s="1"/>
  <c r="P19" i="3"/>
  <c r="Z22" i="3"/>
  <c r="AS22" i="3" s="1"/>
  <c r="P22" i="3"/>
  <c r="Z31" i="3"/>
  <c r="AS31" i="3" s="1"/>
  <c r="P31" i="3"/>
  <c r="M10" i="3"/>
  <c r="R10" i="3" s="1"/>
  <c r="I10" i="3"/>
  <c r="I8" i="3"/>
  <c r="M8" i="3"/>
  <c r="I23" i="3"/>
  <c r="M23" i="3"/>
  <c r="I26" i="3"/>
  <c r="M26" i="3"/>
  <c r="R26" i="3" s="1"/>
  <c r="I32" i="3"/>
  <c r="M32" i="3"/>
  <c r="R32" i="3" s="1"/>
  <c r="Z41" i="3"/>
  <c r="AS41" i="3" s="1"/>
  <c r="P41" i="3"/>
  <c r="I13" i="3"/>
  <c r="M13" i="3"/>
  <c r="I44" i="3"/>
  <c r="M44" i="3"/>
  <c r="R44" i="3" s="1"/>
  <c r="I47" i="3"/>
  <c r="M47" i="3"/>
  <c r="I50" i="3"/>
  <c r="M50" i="3"/>
  <c r="AH7" i="3"/>
  <c r="I25" i="3"/>
  <c r="M25" i="3"/>
  <c r="I40" i="3"/>
  <c r="M40" i="3"/>
  <c r="Q52" i="3"/>
  <c r="I16" i="3"/>
  <c r="M16" i="3"/>
  <c r="R16" i="3" s="1"/>
  <c r="I53" i="3"/>
  <c r="M53" i="3"/>
  <c r="M39" i="3"/>
  <c r="I39" i="3"/>
  <c r="AV52" i="3"/>
  <c r="X24" i="3"/>
  <c r="I36" i="3"/>
  <c r="M36" i="3"/>
  <c r="R36" i="3" s="1"/>
  <c r="Z30" i="3"/>
  <c r="AS30" i="3" s="1"/>
  <c r="Z34" i="3"/>
  <c r="AS34" i="3" s="1"/>
  <c r="V30" i="3"/>
  <c r="W30" i="3" s="1"/>
  <c r="AT30" i="3" s="1"/>
  <c r="Z10" i="3"/>
  <c r="AS10" i="3" s="1"/>
  <c r="Z20" i="3"/>
  <c r="AS20" i="3" s="1"/>
  <c r="Z15" i="3"/>
  <c r="AS15" i="3" s="1"/>
  <c r="Z17" i="3"/>
  <c r="AS17" i="3" s="1"/>
  <c r="Z24" i="3"/>
  <c r="AS24" i="3" s="1"/>
  <c r="Z46" i="3"/>
  <c r="AS46" i="3" s="1"/>
  <c r="Z36" i="3"/>
  <c r="AS36" i="3" s="1"/>
  <c r="L22" i="3"/>
  <c r="H22" i="3"/>
  <c r="E19" i="3"/>
  <c r="H19" i="3"/>
  <c r="E49" i="3"/>
  <c r="H49" i="3"/>
  <c r="E28" i="3"/>
  <c r="H28" i="3"/>
  <c r="X31" i="3"/>
  <c r="H31" i="3"/>
  <c r="V33" i="3"/>
  <c r="W33" i="3" s="1"/>
  <c r="AT33" i="3" s="1"/>
  <c r="H34" i="3"/>
  <c r="L37" i="3"/>
  <c r="H37" i="3"/>
  <c r="E40" i="3"/>
  <c r="V46" i="3"/>
  <c r="W46" i="3" s="1"/>
  <c r="AT46" i="3" s="1"/>
  <c r="H46" i="3"/>
  <c r="E34" i="3"/>
  <c r="E37" i="3"/>
  <c r="Z43" i="3"/>
  <c r="AS43" i="3" s="1"/>
  <c r="Z25" i="3"/>
  <c r="AS25" i="3" s="1"/>
  <c r="V42" i="3"/>
  <c r="W42" i="3" s="1"/>
  <c r="AT42" i="3" s="1"/>
  <c r="H43" i="3"/>
  <c r="E25" i="3"/>
  <c r="Z13" i="3"/>
  <c r="AS13" i="3" s="1"/>
  <c r="L20" i="3"/>
  <c r="H20" i="3"/>
  <c r="V25" i="3"/>
  <c r="W25" i="3" s="1"/>
  <c r="AT25" i="3" s="1"/>
  <c r="Z37" i="3"/>
  <c r="AS37" i="3" s="1"/>
  <c r="Z40" i="3"/>
  <c r="AS40" i="3" s="1"/>
  <c r="X25" i="3"/>
  <c r="X40" i="3"/>
  <c r="E13" i="3"/>
  <c r="X35" i="3"/>
  <c r="H35" i="3"/>
  <c r="X37" i="3"/>
  <c r="H38" i="3"/>
  <c r="E26" i="3"/>
  <c r="E32" i="3"/>
  <c r="E41" i="3"/>
  <c r="H41" i="3"/>
  <c r="X16" i="3"/>
  <c r="E11" i="3"/>
  <c r="H11" i="3"/>
  <c r="E29" i="3"/>
  <c r="H29" i="3"/>
  <c r="L7" i="3"/>
  <c r="H7" i="3"/>
  <c r="V24" i="3"/>
  <c r="W24" i="3" s="1"/>
  <c r="AT24" i="3" s="1"/>
  <c r="H24" i="3"/>
  <c r="X11" i="3"/>
  <c r="X20" i="3"/>
  <c r="H21" i="3"/>
  <c r="Z47" i="3"/>
  <c r="AS47" i="3" s="1"/>
  <c r="L8" i="3"/>
  <c r="V17" i="3"/>
  <c r="W17" i="3" s="1"/>
  <c r="AT17" i="3" s="1"/>
  <c r="H17" i="3"/>
  <c r="X13" i="3"/>
  <c r="H14" i="3"/>
  <c r="V51" i="3"/>
  <c r="W51" i="3" s="1"/>
  <c r="AT51" i="3" s="1"/>
  <c r="H51" i="3"/>
  <c r="E8" i="3"/>
  <c r="V11" i="3"/>
  <c r="W11" i="3" s="1"/>
  <c r="AT11" i="3" s="1"/>
  <c r="H12" i="3"/>
  <c r="X15" i="3"/>
  <c r="H15" i="3"/>
  <c r="E18" i="3"/>
  <c r="V29" i="3"/>
  <c r="W29" i="3" s="1"/>
  <c r="AT29" i="3" s="1"/>
  <c r="H30" i="3"/>
  <c r="Z23" i="3"/>
  <c r="AS23" i="3" s="1"/>
  <c r="V8" i="3"/>
  <c r="W8" i="3" s="1"/>
  <c r="AT8" i="3" s="1"/>
  <c r="H9" i="3"/>
  <c r="Z27" i="3"/>
  <c r="AS27" i="3" s="1"/>
  <c r="X48" i="3"/>
  <c r="H48" i="3"/>
  <c r="V10" i="3"/>
  <c r="W10" i="3" s="1"/>
  <c r="AT10" i="3" s="1"/>
  <c r="V7" i="3"/>
  <c r="W7" i="3" s="1"/>
  <c r="AT7" i="3" s="1"/>
  <c r="V26" i="3"/>
  <c r="W26" i="3" s="1"/>
  <c r="AT26" i="3" s="1"/>
  <c r="H27" i="3"/>
  <c r="E33" i="3"/>
  <c r="H33" i="3"/>
  <c r="X41" i="3"/>
  <c r="H42" i="3"/>
  <c r="V44" i="3"/>
  <c r="W44" i="3" s="1"/>
  <c r="AT44" i="3" s="1"/>
  <c r="H45" i="3"/>
  <c r="M32" i="4"/>
  <c r="M39" i="4"/>
  <c r="M48" i="4"/>
  <c r="E48" i="3"/>
  <c r="L19" i="3"/>
  <c r="E12" i="3"/>
  <c r="V21" i="3"/>
  <c r="W21" i="3" s="1"/>
  <c r="AT21" i="3" s="1"/>
  <c r="Z14" i="3"/>
  <c r="AS14" i="3" s="1"/>
  <c r="X21" i="3"/>
  <c r="E24" i="3"/>
  <c r="Z48" i="3"/>
  <c r="AS48" i="3" s="1"/>
  <c r="E51" i="3"/>
  <c r="X8" i="3"/>
  <c r="V28" i="3"/>
  <c r="W28" i="3" s="1"/>
  <c r="AT28" i="3" s="1"/>
  <c r="E31" i="3"/>
  <c r="V35" i="3"/>
  <c r="W35" i="3" s="1"/>
  <c r="AT35" i="3" s="1"/>
  <c r="E46" i="3"/>
  <c r="X28" i="3"/>
  <c r="E36" i="3"/>
  <c r="Z38" i="3"/>
  <c r="AS38" i="3" s="1"/>
  <c r="V48" i="3"/>
  <c r="W48" i="3" s="1"/>
  <c r="AT48" i="3" s="1"/>
  <c r="X17" i="3"/>
  <c r="E22" i="3"/>
  <c r="Z28" i="3"/>
  <c r="AS28" i="3" s="1"/>
  <c r="M26" i="4"/>
  <c r="E21" i="3"/>
  <c r="M11" i="4"/>
  <c r="X43" i="3"/>
  <c r="V41" i="3"/>
  <c r="W41" i="3" s="1"/>
  <c r="AT41" i="3" s="1"/>
  <c r="Z7" i="3"/>
  <c r="AS7" i="3" s="1"/>
  <c r="M20" i="4"/>
  <c r="V20" i="3"/>
  <c r="W20" i="3" s="1"/>
  <c r="AT20" i="3" s="1"/>
  <c r="V47" i="3"/>
  <c r="W47" i="3" s="1"/>
  <c r="AT47" i="3" s="1"/>
  <c r="M29" i="4"/>
  <c r="M30" i="4"/>
  <c r="E7" i="3"/>
  <c r="X29" i="3"/>
  <c r="Z44" i="3"/>
  <c r="AS44" i="3" s="1"/>
  <c r="Z9" i="3"/>
  <c r="AS9" i="3" s="1"/>
  <c r="M36" i="4"/>
  <c r="AB66" i="14"/>
  <c r="AH67" i="14" s="1"/>
  <c r="AG69" i="14"/>
  <c r="AG66" i="14"/>
  <c r="AA67" i="14"/>
  <c r="AG68" i="14" s="1"/>
  <c r="AB56" i="14"/>
  <c r="AG55" i="14" s="1"/>
  <c r="AA57" i="14"/>
  <c r="AF55" i="14" s="1"/>
  <c r="AE57" i="14"/>
  <c r="AE56" i="14"/>
  <c r="AH69" i="14"/>
  <c r="AH68" i="14"/>
  <c r="AF68" i="14"/>
  <c r="AF69" i="14"/>
  <c r="AE68" i="14"/>
  <c r="AE67" i="14"/>
  <c r="AG57" i="14"/>
  <c r="AG56" i="14"/>
  <c r="AF58" i="14"/>
  <c r="AF57" i="14"/>
  <c r="AA69" i="14"/>
  <c r="AA58" i="14"/>
  <c r="AA68" i="14"/>
  <c r="AH56" i="14"/>
  <c r="AH55" i="14"/>
  <c r="AA55" i="14"/>
  <c r="M44" i="4"/>
  <c r="M38" i="4"/>
  <c r="M45" i="4"/>
  <c r="M5" i="4"/>
  <c r="M14" i="4"/>
  <c r="M23" i="4"/>
  <c r="M47" i="4"/>
  <c r="M33" i="4"/>
  <c r="M35" i="4"/>
  <c r="M42" i="4"/>
  <c r="X51" i="3"/>
  <c r="D29" i="1"/>
  <c r="T3" i="3"/>
  <c r="D34" i="1"/>
  <c r="D36" i="1"/>
  <c r="V49" i="3"/>
  <c r="W49" i="3" s="1"/>
  <c r="AT49" i="3" s="1"/>
  <c r="X50" i="3"/>
  <c r="V50" i="3"/>
  <c r="W50" i="3" s="1"/>
  <c r="AT50" i="3" s="1"/>
  <c r="X49" i="3"/>
  <c r="X9" i="3"/>
  <c r="E10" i="3"/>
  <c r="X22" i="3"/>
  <c r="V22" i="3"/>
  <c r="W22" i="3" s="1"/>
  <c r="AT22" i="3" s="1"/>
  <c r="E35" i="3"/>
  <c r="V34" i="3"/>
  <c r="W34" i="3" s="1"/>
  <c r="AT34" i="3" s="1"/>
  <c r="K4" i="4"/>
  <c r="L4" i="4" s="1"/>
  <c r="K10" i="4"/>
  <c r="L10" i="4" s="1"/>
  <c r="K13" i="4"/>
  <c r="L13" i="4" s="1"/>
  <c r="K19" i="4"/>
  <c r="L19" i="4" s="1"/>
  <c r="K25" i="4"/>
  <c r="L25" i="4" s="1"/>
  <c r="K31" i="4"/>
  <c r="L31" i="4" s="1"/>
  <c r="K34" i="4"/>
  <c r="L34" i="4" s="1"/>
  <c r="K40" i="4"/>
  <c r="L40" i="4" s="1"/>
  <c r="K43" i="4"/>
  <c r="L43" i="4" s="1"/>
  <c r="K46" i="4"/>
  <c r="L46" i="4" s="1"/>
  <c r="V12" i="3"/>
  <c r="W12" i="3" s="1"/>
  <c r="AT12" i="3" s="1"/>
  <c r="E14" i="3"/>
  <c r="E23" i="3"/>
  <c r="X30" i="3"/>
  <c r="X34" i="3"/>
  <c r="X36" i="3"/>
  <c r="E39" i="3"/>
  <c r="X38" i="3"/>
  <c r="E44" i="3"/>
  <c r="E50" i="3"/>
  <c r="K22" i="4"/>
  <c r="L22" i="4" s="1"/>
  <c r="X12" i="3"/>
  <c r="L14" i="3"/>
  <c r="V16" i="3"/>
  <c r="W16" i="3" s="1"/>
  <c r="AT16" i="3" s="1"/>
  <c r="V27" i="3"/>
  <c r="W27" i="3" s="1"/>
  <c r="AT27" i="3" s="1"/>
  <c r="V38" i="3"/>
  <c r="W38" i="3" s="1"/>
  <c r="AT38" i="3" s="1"/>
  <c r="V43" i="3"/>
  <c r="W43" i="3" s="1"/>
  <c r="AT43" i="3" s="1"/>
  <c r="X46" i="3"/>
  <c r="Z26" i="3"/>
  <c r="AS26" i="3" s="1"/>
  <c r="V32" i="3"/>
  <c r="W32" i="3" s="1"/>
  <c r="AT32" i="3" s="1"/>
  <c r="X33" i="3"/>
  <c r="K7" i="4"/>
  <c r="L7" i="4" s="1"/>
  <c r="K16" i="4"/>
  <c r="L16" i="4" s="1"/>
  <c r="K28" i="4"/>
  <c r="L28" i="4" s="1"/>
  <c r="K37" i="4"/>
  <c r="L37" i="4" s="1"/>
  <c r="X27" i="3"/>
  <c r="X32" i="3"/>
  <c r="Z42" i="3"/>
  <c r="AS42" i="3" s="1"/>
  <c r="E45" i="3"/>
  <c r="X44" i="3"/>
  <c r="Z12" i="3"/>
  <c r="AS12" i="3" s="1"/>
  <c r="E17" i="3"/>
  <c r="X39" i="3"/>
  <c r="V39" i="3"/>
  <c r="W39" i="3" s="1"/>
  <c r="AT39" i="3" s="1"/>
  <c r="X45" i="3"/>
  <c r="V19" i="3"/>
  <c r="W19" i="3" s="1"/>
  <c r="AT19" i="3" s="1"/>
  <c r="Z21" i="3"/>
  <c r="AS21" i="3" s="1"/>
  <c r="Z39" i="3"/>
  <c r="AS39" i="3" s="1"/>
  <c r="V14" i="3"/>
  <c r="W14" i="3" s="1"/>
  <c r="AT14" i="3" s="1"/>
  <c r="V15" i="3"/>
  <c r="W15" i="3" s="1"/>
  <c r="AT15" i="3" s="1"/>
  <c r="E16" i="3"/>
  <c r="V18" i="3"/>
  <c r="W18" i="3" s="1"/>
  <c r="AT18" i="3" s="1"/>
  <c r="X23" i="3"/>
  <c r="V23" i="3"/>
  <c r="W23" i="3" s="1"/>
  <c r="AT23" i="3" s="1"/>
  <c r="X26" i="3"/>
  <c r="E27" i="3"/>
  <c r="V37" i="3"/>
  <c r="W37" i="3" s="1"/>
  <c r="AT37" i="3" s="1"/>
  <c r="E38" i="3"/>
  <c r="Z45" i="3"/>
  <c r="AS45" i="3" s="1"/>
  <c r="K3" i="4"/>
  <c r="L3" i="4" s="1"/>
  <c r="K6" i="4"/>
  <c r="L6" i="4" s="1"/>
  <c r="K9" i="4"/>
  <c r="L9" i="4" s="1"/>
  <c r="K12" i="4"/>
  <c r="L12" i="4" s="1"/>
  <c r="K15" i="4"/>
  <c r="L15" i="4" s="1"/>
  <c r="K18" i="4"/>
  <c r="L18" i="4" s="1"/>
  <c r="K21" i="4"/>
  <c r="L21" i="4" s="1"/>
  <c r="K24" i="4"/>
  <c r="L24" i="4" s="1"/>
  <c r="K27" i="4"/>
  <c r="L27" i="4" s="1"/>
  <c r="X7" i="3"/>
  <c r="V9" i="3"/>
  <c r="W9" i="3" s="1"/>
  <c r="AT9" i="3" s="1"/>
  <c r="X10" i="3"/>
  <c r="Z11" i="3"/>
  <c r="AS11" i="3" s="1"/>
  <c r="L16" i="3"/>
  <c r="X18" i="3"/>
  <c r="X19" i="3"/>
  <c r="E20" i="3"/>
  <c r="V13" i="3"/>
  <c r="W13" i="3" s="1"/>
  <c r="AT13" i="3" s="1"/>
  <c r="Z29" i="3"/>
  <c r="AS29" i="3" s="1"/>
  <c r="X47" i="3"/>
  <c r="E47" i="3"/>
  <c r="Z8" i="3"/>
  <c r="AS8" i="3" s="1"/>
  <c r="Z18" i="3"/>
  <c r="AS18" i="3" s="1"/>
  <c r="X14" i="3"/>
  <c r="E15" i="3"/>
  <c r="Z33" i="3"/>
  <c r="AS33" i="3" s="1"/>
  <c r="Z35" i="3"/>
  <c r="AS35" i="3" s="1"/>
  <c r="V40" i="3"/>
  <c r="W40" i="3" s="1"/>
  <c r="AT40" i="3" s="1"/>
  <c r="Z50" i="3"/>
  <c r="AS50" i="3" s="1"/>
  <c r="Z16" i="3"/>
  <c r="AS16" i="3" s="1"/>
  <c r="Z32" i="3"/>
  <c r="AS32" i="3" s="1"/>
  <c r="E42" i="3"/>
  <c r="V45" i="3"/>
  <c r="W45" i="3" s="1"/>
  <c r="AT45" i="3" s="1"/>
  <c r="Z49" i="3"/>
  <c r="AS49" i="3" s="1"/>
  <c r="E43" i="3"/>
  <c r="AC40" i="7"/>
  <c r="AC87" i="7"/>
  <c r="AC95" i="7"/>
  <c r="AD220" i="7"/>
  <c r="AC228" i="7"/>
  <c r="AC236" i="7"/>
  <c r="AC283" i="7"/>
  <c r="AC291" i="7"/>
  <c r="AC299" i="7"/>
  <c r="AD40" i="7"/>
  <c r="AC48" i="7"/>
  <c r="AC56" i="7"/>
  <c r="AC103" i="7"/>
  <c r="AC111" i="7"/>
  <c r="AC119" i="7"/>
  <c r="AC244" i="7"/>
  <c r="AC252" i="7"/>
  <c r="AC260" i="7"/>
  <c r="AC19" i="7"/>
  <c r="AC64" i="7"/>
  <c r="AC72" i="7"/>
  <c r="AC80" i="7"/>
  <c r="AC127" i="7"/>
  <c r="AC135" i="7"/>
  <c r="AD260" i="7"/>
  <c r="AC268" i="7"/>
  <c r="AC276" i="7"/>
  <c r="AC34" i="7"/>
  <c r="AD80" i="7"/>
  <c r="AC88" i="7"/>
  <c r="AF88" i="7" s="1"/>
  <c r="AC96" i="7"/>
  <c r="AC143" i="7"/>
  <c r="AC151" i="7"/>
  <c r="AC159" i="7"/>
  <c r="AC284" i="7"/>
  <c r="AC292" i="7"/>
  <c r="AC300" i="7"/>
  <c r="AC308" i="7"/>
  <c r="AC104" i="7"/>
  <c r="AC112" i="7"/>
  <c r="AC120" i="7"/>
  <c r="AC167" i="7"/>
  <c r="AC175" i="7"/>
  <c r="AD300" i="7"/>
  <c r="I36" i="5"/>
  <c r="K36" i="5" s="1"/>
  <c r="R8" i="3"/>
  <c r="AC20" i="7"/>
  <c r="AD120" i="7"/>
  <c r="AF120" i="7" s="1"/>
  <c r="AC128" i="7"/>
  <c r="AC136" i="7"/>
  <c r="AC183" i="7"/>
  <c r="AC191" i="7"/>
  <c r="AC199" i="7"/>
  <c r="I48" i="5"/>
  <c r="AC144" i="7"/>
  <c r="AC152" i="7"/>
  <c r="AC160" i="7"/>
  <c r="AC207" i="7"/>
  <c r="AC215" i="7"/>
  <c r="AF215" i="7" s="1"/>
  <c r="I49" i="5"/>
  <c r="AD160" i="7"/>
  <c r="AC168" i="7"/>
  <c r="AC176" i="7"/>
  <c r="AC223" i="7"/>
  <c r="AF223" i="7" s="1"/>
  <c r="AC231" i="7"/>
  <c r="AC239" i="7"/>
  <c r="AC43" i="7"/>
  <c r="AC51" i="7"/>
  <c r="AC59" i="7"/>
  <c r="AC184" i="7"/>
  <c r="AC192" i="7"/>
  <c r="AC200" i="7"/>
  <c r="AC247" i="7"/>
  <c r="AC255" i="7"/>
  <c r="K37" i="5"/>
  <c r="R40" i="3"/>
  <c r="AC67" i="7"/>
  <c r="AC75" i="7"/>
  <c r="AD200" i="7"/>
  <c r="AF200" i="7" s="1"/>
  <c r="AC208" i="7"/>
  <c r="AC216" i="7"/>
  <c r="AC263" i="7"/>
  <c r="AC271" i="7"/>
  <c r="AC279" i="7"/>
  <c r="AC83" i="7"/>
  <c r="AC91" i="7"/>
  <c r="AC99" i="7"/>
  <c r="AC224" i="7"/>
  <c r="AC232" i="7"/>
  <c r="AC240" i="7"/>
  <c r="AC287" i="7"/>
  <c r="AC295" i="7"/>
  <c r="AC44" i="7"/>
  <c r="AF44" i="7" s="1"/>
  <c r="AC52" i="7"/>
  <c r="AF52" i="7" s="1"/>
  <c r="AC60" i="7"/>
  <c r="AC107" i="7"/>
  <c r="AC115" i="7"/>
  <c r="AD240" i="7"/>
  <c r="AF240" i="7" s="1"/>
  <c r="AC248" i="7"/>
  <c r="AC256" i="7"/>
  <c r="AC303" i="7"/>
  <c r="AC15" i="7"/>
  <c r="AC23" i="7"/>
  <c r="AD60" i="7"/>
  <c r="AC68" i="7"/>
  <c r="AC76" i="7"/>
  <c r="AC123" i="7"/>
  <c r="AC131" i="7"/>
  <c r="AF131" i="7" s="1"/>
  <c r="AC139" i="7"/>
  <c r="AC264" i="7"/>
  <c r="AC272" i="7"/>
  <c r="AC280" i="7"/>
  <c r="AF280" i="7" s="1"/>
  <c r="D20" i="5"/>
  <c r="AC84" i="7"/>
  <c r="AC92" i="7"/>
  <c r="AC100" i="7"/>
  <c r="AC147" i="7"/>
  <c r="AC155" i="7"/>
  <c r="AF155" i="7" s="1"/>
  <c r="AD280" i="7"/>
  <c r="AC288" i="7"/>
  <c r="AC296" i="7"/>
  <c r="K39" i="5"/>
  <c r="L35" i="3"/>
  <c r="AD100" i="7"/>
  <c r="AC108" i="7"/>
  <c r="AF108" i="7" s="1"/>
  <c r="AC116" i="7"/>
  <c r="AC163" i="7"/>
  <c r="AC171" i="7"/>
  <c r="AC179" i="7"/>
  <c r="AF179" i="7" s="1"/>
  <c r="AC304" i="7"/>
  <c r="L18" i="3"/>
  <c r="L38" i="3"/>
  <c r="AC16" i="7"/>
  <c r="AC24" i="7"/>
  <c r="AC31" i="7"/>
  <c r="AC124" i="7"/>
  <c r="AC132" i="7"/>
  <c r="AC140" i="7"/>
  <c r="AC187" i="7"/>
  <c r="AC195" i="7"/>
  <c r="L41" i="3"/>
  <c r="R50" i="3"/>
  <c r="AC9" i="7"/>
  <c r="AD140" i="7"/>
  <c r="AC148" i="7"/>
  <c r="AC156" i="7"/>
  <c r="AC203" i="7"/>
  <c r="AF203" i="7" s="1"/>
  <c r="AC211" i="7"/>
  <c r="AC219" i="7"/>
  <c r="AC39" i="7"/>
  <c r="AC164" i="7"/>
  <c r="AC172" i="7"/>
  <c r="AC180" i="7"/>
  <c r="AC227" i="7"/>
  <c r="AC235" i="7"/>
  <c r="L21" i="3"/>
  <c r="AC47" i="7"/>
  <c r="AC55" i="7"/>
  <c r="AD180" i="7"/>
  <c r="AC188" i="7"/>
  <c r="AC196" i="7"/>
  <c r="AC243" i="7"/>
  <c r="AC251" i="7"/>
  <c r="AC259" i="7"/>
  <c r="AF227" i="7"/>
  <c r="L50" i="3"/>
  <c r="Q50" i="3" s="1"/>
  <c r="AD24" i="7"/>
  <c r="AF24" i="7" s="1"/>
  <c r="L39" i="3"/>
  <c r="AD9" i="7"/>
  <c r="L48" i="3"/>
  <c r="AD35" i="7"/>
  <c r="AF268" i="7"/>
  <c r="AF288" i="7"/>
  <c r="AD308" i="7"/>
  <c r="AF308" i="7" s="1"/>
  <c r="AD14" i="7"/>
  <c r="AD48" i="7"/>
  <c r="AF48" i="7" s="1"/>
  <c r="AD68" i="7"/>
  <c r="AF68" i="7" s="1"/>
  <c r="AD88" i="7"/>
  <c r="AD108" i="7"/>
  <c r="AD128" i="7"/>
  <c r="AF128" i="7" s="1"/>
  <c r="AD148" i="7"/>
  <c r="AD168" i="7"/>
  <c r="AD188" i="7"/>
  <c r="AD208" i="7"/>
  <c r="AF208" i="7" s="1"/>
  <c r="AD228" i="7"/>
  <c r="AF228" i="7" s="1"/>
  <c r="AD248" i="7"/>
  <c r="AF248" i="7" s="1"/>
  <c r="AD268" i="7"/>
  <c r="AD288" i="7"/>
  <c r="L12" i="3"/>
  <c r="L33" i="3"/>
  <c r="L46" i="3"/>
  <c r="L10" i="3"/>
  <c r="L31" i="3"/>
  <c r="AD20" i="7"/>
  <c r="AF20" i="7" s="1"/>
  <c r="AD306" i="7"/>
  <c r="AD302" i="7"/>
  <c r="AD298" i="7"/>
  <c r="AD294" i="7"/>
  <c r="AD290" i="7"/>
  <c r="AD286" i="7"/>
  <c r="AD282" i="7"/>
  <c r="AD278" i="7"/>
  <c r="AD274" i="7"/>
  <c r="AD270" i="7"/>
  <c r="AD266" i="7"/>
  <c r="AD262" i="7"/>
  <c r="AD258" i="7"/>
  <c r="AD254" i="7"/>
  <c r="AD250" i="7"/>
  <c r="AD246" i="7"/>
  <c r="AD242" i="7"/>
  <c r="AD238" i="7"/>
  <c r="AD234" i="7"/>
  <c r="AD230" i="7"/>
  <c r="AD226" i="7"/>
  <c r="AD222" i="7"/>
  <c r="AD218" i="7"/>
  <c r="AD214" i="7"/>
  <c r="AD210" i="7"/>
  <c r="AD206" i="7"/>
  <c r="AD202" i="7"/>
  <c r="AD198" i="7"/>
  <c r="AD194" i="7"/>
  <c r="AD190" i="7"/>
  <c r="AD186" i="7"/>
  <c r="AD182" i="7"/>
  <c r="AD178" i="7"/>
  <c r="AD174" i="7"/>
  <c r="AD170" i="7"/>
  <c r="AD166" i="7"/>
  <c r="AD162" i="7"/>
  <c r="AD158" i="7"/>
  <c r="AD154" i="7"/>
  <c r="AD150" i="7"/>
  <c r="AD146" i="7"/>
  <c r="AD142" i="7"/>
  <c r="AD138" i="7"/>
  <c r="AD134" i="7"/>
  <c r="AD130" i="7"/>
  <c r="AD126" i="7"/>
  <c r="AD122" i="7"/>
  <c r="AD118" i="7"/>
  <c r="AD114" i="7"/>
  <c r="AD110" i="7"/>
  <c r="AD106" i="7"/>
  <c r="AD102" i="7"/>
  <c r="AD98" i="7"/>
  <c r="AD94" i="7"/>
  <c r="AD90" i="7"/>
  <c r="AD86" i="7"/>
  <c r="AD82" i="7"/>
  <c r="AD78" i="7"/>
  <c r="AD74" i="7"/>
  <c r="AD70" i="7"/>
  <c r="AD66" i="7"/>
  <c r="AD62" i="7"/>
  <c r="AD58" i="7"/>
  <c r="AD54" i="7"/>
  <c r="AD50" i="7"/>
  <c r="AD46" i="7"/>
  <c r="AD42" i="7"/>
  <c r="AD38" i="7"/>
  <c r="AD34" i="7"/>
  <c r="AD23" i="7"/>
  <c r="AF23" i="7" s="1"/>
  <c r="AD19" i="7"/>
  <c r="AF19" i="7" s="1"/>
  <c r="AD15" i="7"/>
  <c r="AF15" i="7" s="1"/>
  <c r="AD309" i="7"/>
  <c r="AD305" i="7"/>
  <c r="AD301" i="7"/>
  <c r="AD297" i="7"/>
  <c r="AD293" i="7"/>
  <c r="AD289" i="7"/>
  <c r="AD285" i="7"/>
  <c r="AD281" i="7"/>
  <c r="AD277" i="7"/>
  <c r="AD273" i="7"/>
  <c r="AD269" i="7"/>
  <c r="AD265" i="7"/>
  <c r="AD261" i="7"/>
  <c r="AD257" i="7"/>
  <c r="AD253" i="7"/>
  <c r="AD249" i="7"/>
  <c r="AD245" i="7"/>
  <c r="AD241" i="7"/>
  <c r="AD237" i="7"/>
  <c r="AD233" i="7"/>
  <c r="AD229" i="7"/>
  <c r="AD225" i="7"/>
  <c r="AD221" i="7"/>
  <c r="AD217" i="7"/>
  <c r="AD213" i="7"/>
  <c r="AD209" i="7"/>
  <c r="AD205" i="7"/>
  <c r="AD201" i="7"/>
  <c r="AD197" i="7"/>
  <c r="AD193" i="7"/>
  <c r="AD189" i="7"/>
  <c r="AD185" i="7"/>
  <c r="AD181" i="7"/>
  <c r="AD177" i="7"/>
  <c r="AD173" i="7"/>
  <c r="AD169" i="7"/>
  <c r="AD165" i="7"/>
  <c r="AD161" i="7"/>
  <c r="AD157" i="7"/>
  <c r="AD153" i="7"/>
  <c r="AD149" i="7"/>
  <c r="AD145" i="7"/>
  <c r="AD141" i="7"/>
  <c r="AD137" i="7"/>
  <c r="AD133" i="7"/>
  <c r="AD129" i="7"/>
  <c r="AD125" i="7"/>
  <c r="AD121" i="7"/>
  <c r="AD117" i="7"/>
  <c r="AD113" i="7"/>
  <c r="AD109" i="7"/>
  <c r="AD105" i="7"/>
  <c r="AD101" i="7"/>
  <c r="AD97" i="7"/>
  <c r="AD93" i="7"/>
  <c r="AD89" i="7"/>
  <c r="AD85" i="7"/>
  <c r="AD81" i="7"/>
  <c r="AD77" i="7"/>
  <c r="AD73" i="7"/>
  <c r="AD69" i="7"/>
  <c r="AD65" i="7"/>
  <c r="AD61" i="7"/>
  <c r="AD57" i="7"/>
  <c r="AD53" i="7"/>
  <c r="AD49" i="7"/>
  <c r="AD45" i="7"/>
  <c r="AD41" i="7"/>
  <c r="AD37" i="7"/>
  <c r="AD26" i="7"/>
  <c r="AD11" i="7"/>
  <c r="AD33" i="7"/>
  <c r="AD29" i="7"/>
  <c r="AD32" i="7"/>
  <c r="AD28" i="7"/>
  <c r="AD13" i="7"/>
  <c r="AD307" i="7"/>
  <c r="AD303" i="7"/>
  <c r="AD299" i="7"/>
  <c r="AD295" i="7"/>
  <c r="AF295" i="7" s="1"/>
  <c r="AD291" i="7"/>
  <c r="AF291" i="7" s="1"/>
  <c r="AD287" i="7"/>
  <c r="AD283" i="7"/>
  <c r="AD279" i="7"/>
  <c r="AD275" i="7"/>
  <c r="AF275" i="7" s="1"/>
  <c r="AD271" i="7"/>
  <c r="AF271" i="7" s="1"/>
  <c r="AD267" i="7"/>
  <c r="AF267" i="7" s="1"/>
  <c r="AD263" i="7"/>
  <c r="AF263" i="7" s="1"/>
  <c r="AD259" i="7"/>
  <c r="AD255" i="7"/>
  <c r="AD251" i="7"/>
  <c r="AD247" i="7"/>
  <c r="AF247" i="7" s="1"/>
  <c r="AD243" i="7"/>
  <c r="AD239" i="7"/>
  <c r="AF239" i="7" s="1"/>
  <c r="AD235" i="7"/>
  <c r="AF235" i="7" s="1"/>
  <c r="AD231" i="7"/>
  <c r="AF231" i="7" s="1"/>
  <c r="AD227" i="7"/>
  <c r="AD223" i="7"/>
  <c r="AD219" i="7"/>
  <c r="AD215" i="7"/>
  <c r="AD211" i="7"/>
  <c r="AF211" i="7" s="1"/>
  <c r="AD207" i="7"/>
  <c r="AD203" i="7"/>
  <c r="AD199" i="7"/>
  <c r="AF199" i="7" s="1"/>
  <c r="AD195" i="7"/>
  <c r="AF195" i="7" s="1"/>
  <c r="AD191" i="7"/>
  <c r="AF191" i="7" s="1"/>
  <c r="AD187" i="7"/>
  <c r="AF187" i="7" s="1"/>
  <c r="AD183" i="7"/>
  <c r="AF183" i="7" s="1"/>
  <c r="AD179" i="7"/>
  <c r="AD175" i="7"/>
  <c r="AD171" i="7"/>
  <c r="AD167" i="7"/>
  <c r="AD163" i="7"/>
  <c r="AD159" i="7"/>
  <c r="AF159" i="7" s="1"/>
  <c r="AD155" i="7"/>
  <c r="AD151" i="7"/>
  <c r="AF151" i="7" s="1"/>
  <c r="AD147" i="7"/>
  <c r="AD143" i="7"/>
  <c r="AD139" i="7"/>
  <c r="AF139" i="7" s="1"/>
  <c r="AD135" i="7"/>
  <c r="AF135" i="7" s="1"/>
  <c r="AD131" i="7"/>
  <c r="AD127" i="7"/>
  <c r="AF127" i="7" s="1"/>
  <c r="AD123" i="7"/>
  <c r="AF123" i="7" s="1"/>
  <c r="AD119" i="7"/>
  <c r="AF119" i="7" s="1"/>
  <c r="AD115" i="7"/>
  <c r="AF115" i="7" s="1"/>
  <c r="AD111" i="7"/>
  <c r="AD107" i="7"/>
  <c r="AF107" i="7" s="1"/>
  <c r="AD103" i="7"/>
  <c r="AF103" i="7" s="1"/>
  <c r="AD99" i="7"/>
  <c r="AD95" i="7"/>
  <c r="AF95" i="7" s="1"/>
  <c r="AD91" i="7"/>
  <c r="AF91" i="7" s="1"/>
  <c r="AD87" i="7"/>
  <c r="AF87" i="7" s="1"/>
  <c r="AD83" i="7"/>
  <c r="AD79" i="7"/>
  <c r="AF79" i="7" s="1"/>
  <c r="AD75" i="7"/>
  <c r="AD71" i="7"/>
  <c r="AD67" i="7"/>
  <c r="AD63" i="7"/>
  <c r="AD59" i="7"/>
  <c r="AD55" i="7"/>
  <c r="AF55" i="7" s="1"/>
  <c r="AD51" i="7"/>
  <c r="AD47" i="7"/>
  <c r="AF47" i="7" s="1"/>
  <c r="AD43" i="7"/>
  <c r="AD39" i="7"/>
  <c r="AD31" i="7"/>
  <c r="AF31" i="7" s="1"/>
  <c r="L29" i="3"/>
  <c r="L44" i="3"/>
  <c r="AD10" i="7"/>
  <c r="AF10" i="7" s="1"/>
  <c r="AD25" i="7"/>
  <c r="AF25" i="7" s="1"/>
  <c r="L27" i="3"/>
  <c r="AD36" i="7"/>
  <c r="AF36" i="7" s="1"/>
  <c r="AF43" i="7"/>
  <c r="AD56" i="7"/>
  <c r="AF56" i="7" s="1"/>
  <c r="AF63" i="7"/>
  <c r="AD76" i="7"/>
  <c r="AF76" i="7" s="1"/>
  <c r="AF83" i="7"/>
  <c r="AD96" i="7"/>
  <c r="AD116" i="7"/>
  <c r="AF116" i="7" s="1"/>
  <c r="AD136" i="7"/>
  <c r="AF136" i="7" s="1"/>
  <c r="AF143" i="7"/>
  <c r="AD156" i="7"/>
  <c r="AD176" i="7"/>
  <c r="AD196" i="7"/>
  <c r="AD216" i="7"/>
  <c r="AF216" i="7" s="1"/>
  <c r="AD236" i="7"/>
  <c r="AF236" i="7" s="1"/>
  <c r="AD256" i="7"/>
  <c r="AF256" i="7" s="1"/>
  <c r="AD276" i="7"/>
  <c r="AF276" i="7" s="1"/>
  <c r="AF283" i="7"/>
  <c r="AD296" i="7"/>
  <c r="AF296" i="7" s="1"/>
  <c r="AF303" i="7"/>
  <c r="L25" i="3"/>
  <c r="L42" i="3"/>
  <c r="AF67" i="7"/>
  <c r="L23" i="3"/>
  <c r="L51" i="3"/>
  <c r="AD21" i="7"/>
  <c r="L40" i="3"/>
  <c r="AD16" i="7"/>
  <c r="AF16" i="7" s="1"/>
  <c r="L49" i="3"/>
  <c r="AD44" i="7"/>
  <c r="AF51" i="7"/>
  <c r="AD64" i="7"/>
  <c r="AF64" i="7" s="1"/>
  <c r="AF71" i="7"/>
  <c r="AD84" i="7"/>
  <c r="AD104" i="7"/>
  <c r="AF104" i="7" s="1"/>
  <c r="AF111" i="7"/>
  <c r="AD124" i="7"/>
  <c r="AF124" i="7" s="1"/>
  <c r="AD144" i="7"/>
  <c r="AF144" i="7" s="1"/>
  <c r="AD164" i="7"/>
  <c r="AF164" i="7" s="1"/>
  <c r="AD184" i="7"/>
  <c r="AF184" i="7" s="1"/>
  <c r="AD204" i="7"/>
  <c r="AF204" i="7" s="1"/>
  <c r="AD224" i="7"/>
  <c r="AF224" i="7" s="1"/>
  <c r="AD244" i="7"/>
  <c r="AD264" i="7"/>
  <c r="AD284" i="7"/>
  <c r="AF284" i="7" s="1"/>
  <c r="AD304" i="7"/>
  <c r="AF304" i="7" s="1"/>
  <c r="L17" i="3"/>
  <c r="L36" i="3"/>
  <c r="K40" i="5"/>
  <c r="L15" i="3"/>
  <c r="L34" i="3"/>
  <c r="L47" i="3"/>
  <c r="AD22" i="7"/>
  <c r="L13" i="3"/>
  <c r="L32" i="3"/>
  <c r="AD12" i="7"/>
  <c r="AD17" i="7"/>
  <c r="AD27" i="7"/>
  <c r="AF27" i="7" s="1"/>
  <c r="AF112" i="7"/>
  <c r="AF132" i="7"/>
  <c r="AF152" i="7"/>
  <c r="AF172" i="7"/>
  <c r="L23" i="5"/>
  <c r="L11" i="3"/>
  <c r="L30" i="3"/>
  <c r="L45" i="3"/>
  <c r="AF39" i="7"/>
  <c r="AD52" i="7"/>
  <c r="AF59" i="7"/>
  <c r="AD72" i="7"/>
  <c r="AF72" i="7" s="1"/>
  <c r="AD92" i="7"/>
  <c r="AF92" i="7" s="1"/>
  <c r="AF99" i="7"/>
  <c r="AD112" i="7"/>
  <c r="AD132" i="7"/>
  <c r="AD152" i="7"/>
  <c r="AD172" i="7"/>
  <c r="AD192" i="7"/>
  <c r="AF192" i="7" s="1"/>
  <c r="AD212" i="7"/>
  <c r="AF212" i="7" s="1"/>
  <c r="AF219" i="7"/>
  <c r="AD232" i="7"/>
  <c r="AF232" i="7" s="1"/>
  <c r="AD252" i="7"/>
  <c r="AF259" i="7"/>
  <c r="AD272" i="7"/>
  <c r="AF272" i="7" s="1"/>
  <c r="AF279" i="7"/>
  <c r="AD292" i="7"/>
  <c r="AF292" i="7" s="1"/>
  <c r="AF299" i="7"/>
  <c r="L9" i="3"/>
  <c r="L28" i="3"/>
  <c r="AF147" i="7"/>
  <c r="H29" i="5"/>
  <c r="L26" i="3"/>
  <c r="L43" i="3"/>
  <c r="L24" i="3"/>
  <c r="AD18" i="7"/>
  <c r="AF34" i="7"/>
  <c r="AF40" i="7"/>
  <c r="AF60" i="7"/>
  <c r="AF80" i="7"/>
  <c r="AF100" i="7"/>
  <c r="AF140" i="7"/>
  <c r="AF160" i="7"/>
  <c r="AF180" i="7"/>
  <c r="AF220" i="7"/>
  <c r="AF260" i="7"/>
  <c r="AF300" i="7"/>
  <c r="AC35" i="7"/>
  <c r="AF35" i="7" s="1"/>
  <c r="AC307" i="7"/>
  <c r="AF307" i="7" s="1"/>
  <c r="AC13" i="7"/>
  <c r="AF13" i="7" s="1"/>
  <c r="AC28" i="7"/>
  <c r="AF28" i="7" s="1"/>
  <c r="AC32" i="7"/>
  <c r="AC17" i="7"/>
  <c r="AF17" i="7" s="1"/>
  <c r="AC21" i="7"/>
  <c r="AC29" i="7"/>
  <c r="AC33" i="7"/>
  <c r="R13" i="3"/>
  <c r="R23" i="3"/>
  <c r="R25" i="3"/>
  <c r="R39" i="3"/>
  <c r="R47" i="3"/>
  <c r="AC14" i="7"/>
  <c r="AC18" i="7"/>
  <c r="AF18" i="7" s="1"/>
  <c r="AC22" i="7"/>
  <c r="AC11" i="7"/>
  <c r="AF11" i="7" s="1"/>
  <c r="AC26" i="7"/>
  <c r="AF26" i="7" s="1"/>
  <c r="AC37" i="7"/>
  <c r="AF37" i="7" s="1"/>
  <c r="AC41" i="7"/>
  <c r="AC45" i="7"/>
  <c r="AC49" i="7"/>
  <c r="AF49" i="7" s="1"/>
  <c r="AC53" i="7"/>
  <c r="AF53" i="7" s="1"/>
  <c r="AC57" i="7"/>
  <c r="AF57" i="7" s="1"/>
  <c r="AC61" i="7"/>
  <c r="AF61" i="7" s="1"/>
  <c r="AC65" i="7"/>
  <c r="AF65" i="7" s="1"/>
  <c r="AC69" i="7"/>
  <c r="AF69" i="7" s="1"/>
  <c r="AC73" i="7"/>
  <c r="AF73" i="7" s="1"/>
  <c r="AC77" i="7"/>
  <c r="AF77" i="7" s="1"/>
  <c r="AC81" i="7"/>
  <c r="AF81" i="7" s="1"/>
  <c r="AC85" i="7"/>
  <c r="AF85" i="7" s="1"/>
  <c r="AC89" i="7"/>
  <c r="AF89" i="7" s="1"/>
  <c r="AC93" i="7"/>
  <c r="AF93" i="7" s="1"/>
  <c r="AC97" i="7"/>
  <c r="AC101" i="7"/>
  <c r="AC105" i="7"/>
  <c r="AC109" i="7"/>
  <c r="AF109" i="7" s="1"/>
  <c r="AC113" i="7"/>
  <c r="AF113" i="7" s="1"/>
  <c r="AC117" i="7"/>
  <c r="AF117" i="7" s="1"/>
  <c r="AC121" i="7"/>
  <c r="AC125" i="7"/>
  <c r="AF125" i="7" s="1"/>
  <c r="AC129" i="7"/>
  <c r="AF129" i="7" s="1"/>
  <c r="AC133" i="7"/>
  <c r="AF133" i="7" s="1"/>
  <c r="AC137" i="7"/>
  <c r="AF137" i="7" s="1"/>
  <c r="AC141" i="7"/>
  <c r="AF141" i="7" s="1"/>
  <c r="AC145" i="7"/>
  <c r="AF145" i="7" s="1"/>
  <c r="AC149" i="7"/>
  <c r="AF149" i="7" s="1"/>
  <c r="AC153" i="7"/>
  <c r="AF153" i="7" s="1"/>
  <c r="AC157" i="7"/>
  <c r="AF157" i="7" s="1"/>
  <c r="AC161" i="7"/>
  <c r="AF161" i="7" s="1"/>
  <c r="AC165" i="7"/>
  <c r="AF165" i="7" s="1"/>
  <c r="AC169" i="7"/>
  <c r="AF169" i="7" s="1"/>
  <c r="AC173" i="7"/>
  <c r="AF173" i="7" s="1"/>
  <c r="AC177" i="7"/>
  <c r="AC181" i="7"/>
  <c r="AC185" i="7"/>
  <c r="AC189" i="7"/>
  <c r="AF189" i="7" s="1"/>
  <c r="AC193" i="7"/>
  <c r="AF193" i="7" s="1"/>
  <c r="AC197" i="7"/>
  <c r="AF197" i="7" s="1"/>
  <c r="AC201" i="7"/>
  <c r="AC205" i="7"/>
  <c r="AF205" i="7" s="1"/>
  <c r="AC209" i="7"/>
  <c r="AF209" i="7" s="1"/>
  <c r="AC213" i="7"/>
  <c r="AF213" i="7" s="1"/>
  <c r="AC217" i="7"/>
  <c r="AF217" i="7" s="1"/>
  <c r="AC221" i="7"/>
  <c r="AF221" i="7" s="1"/>
  <c r="AC225" i="7"/>
  <c r="AF225" i="7" s="1"/>
  <c r="AC229" i="7"/>
  <c r="AF229" i="7" s="1"/>
  <c r="AC233" i="7"/>
  <c r="AF233" i="7" s="1"/>
  <c r="AC237" i="7"/>
  <c r="AF237" i="7" s="1"/>
  <c r="AC241" i="7"/>
  <c r="AF241" i="7" s="1"/>
  <c r="AC245" i="7"/>
  <c r="AF245" i="7" s="1"/>
  <c r="AC249" i="7"/>
  <c r="AF249" i="7" s="1"/>
  <c r="AC253" i="7"/>
  <c r="AF253" i="7" s="1"/>
  <c r="AC257" i="7"/>
  <c r="AC261" i="7"/>
  <c r="AC265" i="7"/>
  <c r="AC269" i="7"/>
  <c r="AF269" i="7" s="1"/>
  <c r="AC273" i="7"/>
  <c r="AF273" i="7" s="1"/>
  <c r="AC277" i="7"/>
  <c r="AF277" i="7" s="1"/>
  <c r="AC281" i="7"/>
  <c r="AC285" i="7"/>
  <c r="AF285" i="7" s="1"/>
  <c r="AC289" i="7"/>
  <c r="AF289" i="7" s="1"/>
  <c r="AC293" i="7"/>
  <c r="AF293" i="7" s="1"/>
  <c r="AC297" i="7"/>
  <c r="AF297" i="7" s="1"/>
  <c r="AC301" i="7"/>
  <c r="AF301" i="7" s="1"/>
  <c r="AC305" i="7"/>
  <c r="AF305" i="7" s="1"/>
  <c r="AC309" i="7"/>
  <c r="AF309" i="7" s="1"/>
  <c r="AC30" i="7"/>
  <c r="AF30" i="7" s="1"/>
  <c r="AC38" i="7"/>
  <c r="AF38" i="7" s="1"/>
  <c r="AC42" i="7"/>
  <c r="AF42" i="7" s="1"/>
  <c r="AC46" i="7"/>
  <c r="AC50" i="7"/>
  <c r="AC54" i="7"/>
  <c r="AC58" i="7"/>
  <c r="AF58" i="7" s="1"/>
  <c r="AC62" i="7"/>
  <c r="AF62" i="7" s="1"/>
  <c r="AC66" i="7"/>
  <c r="AF66" i="7" s="1"/>
  <c r="AC70" i="7"/>
  <c r="AC74" i="7"/>
  <c r="AC78" i="7"/>
  <c r="AF78" i="7" s="1"/>
  <c r="AC82" i="7"/>
  <c r="AF82" i="7" s="1"/>
  <c r="AC86" i="7"/>
  <c r="AF86" i="7" s="1"/>
  <c r="AC90" i="7"/>
  <c r="AF90" i="7" s="1"/>
  <c r="AC94" i="7"/>
  <c r="AF94" i="7" s="1"/>
  <c r="AC98" i="7"/>
  <c r="AF98" i="7" s="1"/>
  <c r="AC102" i="7"/>
  <c r="AF102" i="7" s="1"/>
  <c r="AC106" i="7"/>
  <c r="AF106" i="7" s="1"/>
  <c r="AC110" i="7"/>
  <c r="AF110" i="7" s="1"/>
  <c r="AC114" i="7"/>
  <c r="AF114" i="7" s="1"/>
  <c r="AC118" i="7"/>
  <c r="AF118" i="7" s="1"/>
  <c r="AC122" i="7"/>
  <c r="AF122" i="7" s="1"/>
  <c r="AC126" i="7"/>
  <c r="AC130" i="7"/>
  <c r="AC134" i="7"/>
  <c r="AC138" i="7"/>
  <c r="AF138" i="7" s="1"/>
  <c r="AC142" i="7"/>
  <c r="AF142" i="7" s="1"/>
  <c r="AC146" i="7"/>
  <c r="AF146" i="7" s="1"/>
  <c r="AC150" i="7"/>
  <c r="AC154" i="7"/>
  <c r="AC158" i="7"/>
  <c r="AF158" i="7" s="1"/>
  <c r="AC162" i="7"/>
  <c r="AF162" i="7" s="1"/>
  <c r="AC166" i="7"/>
  <c r="AF166" i="7" s="1"/>
  <c r="AC170" i="7"/>
  <c r="AF170" i="7" s="1"/>
  <c r="AC174" i="7"/>
  <c r="AF174" i="7" s="1"/>
  <c r="AC178" i="7"/>
  <c r="AF178" i="7" s="1"/>
  <c r="AC182" i="7"/>
  <c r="AF182" i="7" s="1"/>
  <c r="AC186" i="7"/>
  <c r="AF186" i="7" s="1"/>
  <c r="AC190" i="7"/>
  <c r="AF190" i="7" s="1"/>
  <c r="AC194" i="7"/>
  <c r="AF194" i="7" s="1"/>
  <c r="AC198" i="7"/>
  <c r="AF198" i="7" s="1"/>
  <c r="AC202" i="7"/>
  <c r="AF202" i="7" s="1"/>
  <c r="AC206" i="7"/>
  <c r="AC210" i="7"/>
  <c r="AC214" i="7"/>
  <c r="AC218" i="7"/>
  <c r="AF218" i="7" s="1"/>
  <c r="AC222" i="7"/>
  <c r="AF222" i="7" s="1"/>
  <c r="AC226" i="7"/>
  <c r="AF226" i="7" s="1"/>
  <c r="AC230" i="7"/>
  <c r="AC234" i="7"/>
  <c r="AC238" i="7"/>
  <c r="AF238" i="7" s="1"/>
  <c r="AC242" i="7"/>
  <c r="AF242" i="7" s="1"/>
  <c r="AC246" i="7"/>
  <c r="AF246" i="7" s="1"/>
  <c r="AC250" i="7"/>
  <c r="AF250" i="7" s="1"/>
  <c r="AC254" i="7"/>
  <c r="AF254" i="7" s="1"/>
  <c r="AC258" i="7"/>
  <c r="AF258" i="7" s="1"/>
  <c r="AC262" i="7"/>
  <c r="AF262" i="7" s="1"/>
  <c r="AC266" i="7"/>
  <c r="AF266" i="7" s="1"/>
  <c r="AC270" i="7"/>
  <c r="AF270" i="7" s="1"/>
  <c r="AC274" i="7"/>
  <c r="AF274" i="7" s="1"/>
  <c r="AC278" i="7"/>
  <c r="AF278" i="7" s="1"/>
  <c r="AC282" i="7"/>
  <c r="AF282" i="7" s="1"/>
  <c r="AC286" i="7"/>
  <c r="AC290" i="7"/>
  <c r="AC294" i="7"/>
  <c r="AC298" i="7"/>
  <c r="AF298" i="7" s="1"/>
  <c r="AC302" i="7"/>
  <c r="AF302" i="7" s="1"/>
  <c r="AC306" i="7"/>
  <c r="AF306" i="7" s="1"/>
  <c r="AC12" i="7"/>
  <c r="AF12" i="7" s="1"/>
  <c r="L38" i="5"/>
  <c r="L46" i="5"/>
  <c r="L20" i="5"/>
  <c r="L44" i="5"/>
  <c r="L12" i="5"/>
  <c r="L39" i="5"/>
  <c r="L19" i="5"/>
  <c r="L5" i="5"/>
  <c r="L8" i="5"/>
  <c r="L40" i="5"/>
  <c r="L52" i="5"/>
  <c r="L56" i="5"/>
  <c r="D35" i="1"/>
  <c r="L53" i="5"/>
  <c r="M7" i="14"/>
  <c r="M9" i="14" s="1"/>
  <c r="L13" i="5"/>
  <c r="L16" i="5"/>
  <c r="L41" i="5"/>
  <c r="A35" i="14"/>
  <c r="A31" i="14" s="1"/>
  <c r="L6" i="5"/>
  <c r="L11" i="5"/>
  <c r="L22" i="5"/>
  <c r="L45" i="5"/>
  <c r="L50" i="5"/>
  <c r="L54" i="5"/>
  <c r="L37" i="5"/>
  <c r="L7" i="5"/>
  <c r="L17" i="5"/>
  <c r="L35" i="5"/>
  <c r="L51" i="5"/>
  <c r="G14" i="14"/>
  <c r="I9" i="14"/>
  <c r="J3" i="3" l="1"/>
  <c r="AC54" i="3"/>
  <c r="AB54" i="3" s="1"/>
  <c r="AU54" i="3"/>
  <c r="AW54" i="3" s="1"/>
  <c r="AA53" i="3"/>
  <c r="Q23" i="3"/>
  <c r="G13" i="14"/>
  <c r="P3" i="21"/>
  <c r="Q3" i="21"/>
  <c r="AB51" i="21"/>
  <c r="AT51" i="21"/>
  <c r="AV51" i="21" s="1"/>
  <c r="Z50" i="21"/>
  <c r="AA52" i="21"/>
  <c r="AF56" i="14"/>
  <c r="AL56" i="14" s="1"/>
  <c r="AH66" i="14"/>
  <c r="I35" i="3"/>
  <c r="M35" i="3"/>
  <c r="R35" i="3" s="1"/>
  <c r="Q30" i="3"/>
  <c r="I27" i="3"/>
  <c r="M27" i="3"/>
  <c r="R27" i="3" s="1"/>
  <c r="Q28" i="3"/>
  <c r="I20" i="3"/>
  <c r="M20" i="3"/>
  <c r="R20" i="3" s="1"/>
  <c r="M49" i="3"/>
  <c r="R49" i="3" s="1"/>
  <c r="I49" i="3"/>
  <c r="I17" i="3"/>
  <c r="M17" i="3"/>
  <c r="R17" i="3" s="1"/>
  <c r="M34" i="3"/>
  <c r="R34" i="3" s="1"/>
  <c r="I34" i="3"/>
  <c r="I24" i="3"/>
  <c r="M24" i="3"/>
  <c r="R24" i="3" s="1"/>
  <c r="I15" i="3"/>
  <c r="M15" i="3"/>
  <c r="R15" i="3" s="1"/>
  <c r="I30" i="3"/>
  <c r="M30" i="3"/>
  <c r="R30" i="3" s="1"/>
  <c r="I41" i="3"/>
  <c r="M41" i="3"/>
  <c r="R41" i="3" s="1"/>
  <c r="I7" i="3"/>
  <c r="M7" i="3"/>
  <c r="Q7" i="3" s="1"/>
  <c r="M45" i="3"/>
  <c r="R45" i="3" s="1"/>
  <c r="I45" i="3"/>
  <c r="I48" i="3"/>
  <c r="M48" i="3"/>
  <c r="R48" i="3" s="1"/>
  <c r="I31" i="3"/>
  <c r="M31" i="3"/>
  <c r="R31" i="3" s="1"/>
  <c r="I19" i="3"/>
  <c r="M19" i="3"/>
  <c r="R19" i="3" s="1"/>
  <c r="I12" i="3"/>
  <c r="M12" i="3"/>
  <c r="R12" i="3" s="1"/>
  <c r="I42" i="3"/>
  <c r="M42" i="3"/>
  <c r="R42" i="3" s="1"/>
  <c r="I28" i="3"/>
  <c r="M28" i="3"/>
  <c r="R28" i="3" s="1"/>
  <c r="M22" i="3"/>
  <c r="R22" i="3" s="1"/>
  <c r="I22" i="3"/>
  <c r="R53" i="3"/>
  <c r="Q53" i="3"/>
  <c r="M9" i="3"/>
  <c r="R9" i="3" s="1"/>
  <c r="I9" i="3"/>
  <c r="I29" i="3"/>
  <c r="M29" i="3"/>
  <c r="R29" i="3" s="1"/>
  <c r="I38" i="3"/>
  <c r="M38" i="3"/>
  <c r="R38" i="3" s="1"/>
  <c r="I37" i="3"/>
  <c r="M37" i="3"/>
  <c r="R37" i="3" s="1"/>
  <c r="M33" i="3"/>
  <c r="R33" i="3" s="1"/>
  <c r="I33" i="3"/>
  <c r="M21" i="3"/>
  <c r="R21" i="3" s="1"/>
  <c r="I21" i="3"/>
  <c r="I14" i="3"/>
  <c r="M14" i="3"/>
  <c r="R14" i="3" s="1"/>
  <c r="I11" i="3"/>
  <c r="M11" i="3"/>
  <c r="R11" i="3" s="1"/>
  <c r="I43" i="3"/>
  <c r="M43" i="3"/>
  <c r="R43" i="3" s="1"/>
  <c r="M46" i="3"/>
  <c r="R46" i="3" s="1"/>
  <c r="I46" i="3"/>
  <c r="I51" i="3"/>
  <c r="M51" i="3"/>
  <c r="R51" i="3" s="1"/>
  <c r="Q22" i="3"/>
  <c r="Q10" i="3"/>
  <c r="Q32" i="3"/>
  <c r="Q26" i="3"/>
  <c r="Q40" i="3"/>
  <c r="Q44" i="3"/>
  <c r="Q34" i="3"/>
  <c r="Q36" i="3"/>
  <c r="Q16" i="3"/>
  <c r="Q24" i="3"/>
  <c r="AG58" i="14"/>
  <c r="AG67" i="14"/>
  <c r="AF67" i="14"/>
  <c r="AL67" i="14" s="1"/>
  <c r="AF66" i="14"/>
  <c r="AE69" i="14"/>
  <c r="AE66" i="14"/>
  <c r="AE55" i="14"/>
  <c r="AL55" i="14" s="1"/>
  <c r="AE58" i="14"/>
  <c r="AL69" i="14"/>
  <c r="AL68" i="14"/>
  <c r="AH57" i="14"/>
  <c r="AL57" i="14" s="1"/>
  <c r="AH58" i="14"/>
  <c r="AV51" i="3"/>
  <c r="AV50" i="3" s="1"/>
  <c r="AV49" i="3" s="1"/>
  <c r="AV48" i="3" s="1"/>
  <c r="AV47" i="3" s="1"/>
  <c r="AV46" i="3" s="1"/>
  <c r="AV45" i="3" s="1"/>
  <c r="AV44" i="3" s="1"/>
  <c r="AV43" i="3" s="1"/>
  <c r="AV42" i="3" s="1"/>
  <c r="AV41" i="3" s="1"/>
  <c r="AV40" i="3" s="1"/>
  <c r="AV39" i="3" s="1"/>
  <c r="AV38" i="3" s="1"/>
  <c r="AV37" i="3" s="1"/>
  <c r="AV36" i="3" s="1"/>
  <c r="AV35" i="3" s="1"/>
  <c r="AV34" i="3" s="1"/>
  <c r="AV33" i="3" s="1"/>
  <c r="AV32" i="3" s="1"/>
  <c r="AV31" i="3" s="1"/>
  <c r="AV30" i="3" s="1"/>
  <c r="AV29" i="3" s="1"/>
  <c r="AV28" i="3" s="1"/>
  <c r="AV27" i="3" s="1"/>
  <c r="AV26" i="3" s="1"/>
  <c r="AV25" i="3" s="1"/>
  <c r="AV24" i="3" s="1"/>
  <c r="AV23" i="3" s="1"/>
  <c r="AV22" i="3" s="1"/>
  <c r="AV21" i="3" s="1"/>
  <c r="AV20" i="3" s="1"/>
  <c r="AV19" i="3" s="1"/>
  <c r="AV18" i="3" s="1"/>
  <c r="AV17" i="3" s="1"/>
  <c r="AV16" i="3" s="1"/>
  <c r="AV15" i="3" s="1"/>
  <c r="AV14" i="3" s="1"/>
  <c r="AV13" i="3" s="1"/>
  <c r="AV12" i="3" s="1"/>
  <c r="AV11" i="3" s="1"/>
  <c r="AV10" i="3" s="1"/>
  <c r="AV9" i="3" s="1"/>
  <c r="AV8" i="3" s="1"/>
  <c r="AV7" i="3" s="1"/>
  <c r="Q18" i="3"/>
  <c r="W3" i="3"/>
  <c r="D1" i="4"/>
  <c r="AF96" i="7"/>
  <c r="AF207" i="7"/>
  <c r="AF287" i="7"/>
  <c r="AF252" i="7"/>
  <c r="AF84" i="7"/>
  <c r="AF41" i="7"/>
  <c r="AF234" i="7"/>
  <c r="AF154" i="7"/>
  <c r="AF74" i="7"/>
  <c r="Q17" i="3"/>
  <c r="AF281" i="7"/>
  <c r="AF230" i="7"/>
  <c r="AF75" i="7"/>
  <c r="AF121" i="7"/>
  <c r="AF70" i="7"/>
  <c r="AF22" i="7"/>
  <c r="AF264" i="7"/>
  <c r="AF201" i="7"/>
  <c r="AF244" i="7"/>
  <c r="AF163" i="7"/>
  <c r="AF243" i="7"/>
  <c r="AF45" i="7"/>
  <c r="AF150" i="7"/>
  <c r="AF167" i="7"/>
  <c r="AF188" i="7"/>
  <c r="AF21" i="7"/>
  <c r="AF196" i="7"/>
  <c r="AF171" i="7"/>
  <c r="AF251" i="7"/>
  <c r="AF168" i="7"/>
  <c r="AF176" i="7"/>
  <c r="AF175" i="7"/>
  <c r="AF255" i="7"/>
  <c r="AF156" i="7"/>
  <c r="AF148" i="7"/>
  <c r="Q8" i="3"/>
  <c r="C7" i="7"/>
  <c r="AF9" i="7"/>
  <c r="AF33" i="7"/>
  <c r="Q39" i="3"/>
  <c r="AF29" i="7"/>
  <c r="AF32" i="7"/>
  <c r="C9" i="7"/>
  <c r="AF265" i="7"/>
  <c r="AF185" i="7"/>
  <c r="AF105" i="7"/>
  <c r="Q11" i="3"/>
  <c r="AF134" i="7"/>
  <c r="AF14" i="7"/>
  <c r="AF101" i="7"/>
  <c r="AF257" i="7"/>
  <c r="AF286" i="7"/>
  <c r="Q47" i="3"/>
  <c r="AF181" i="7"/>
  <c r="AF294" i="7"/>
  <c r="AF177" i="7"/>
  <c r="AF50" i="7"/>
  <c r="AF214" i="7"/>
  <c r="AF97" i="7"/>
  <c r="AF130" i="7"/>
  <c r="AF206" i="7"/>
  <c r="Q25" i="3"/>
  <c r="AF261" i="7"/>
  <c r="AF54" i="7"/>
  <c r="AF290" i="7"/>
  <c r="AF126" i="7"/>
  <c r="Q13" i="3"/>
  <c r="AF210" i="7"/>
  <c r="AF46" i="7"/>
  <c r="Q19" i="3"/>
  <c r="T7" i="14"/>
  <c r="W54" i="14" s="1"/>
  <c r="T8" i="14"/>
  <c r="W55" i="14" s="1"/>
  <c r="H21" i="14"/>
  <c r="AK7" i="3"/>
  <c r="AN7" i="3"/>
  <c r="G11" i="14"/>
  <c r="AL58" i="14" l="1"/>
  <c r="AC53" i="3"/>
  <c r="AB53" i="3" s="1"/>
  <c r="AU53" i="3"/>
  <c r="AW53" i="3" s="1"/>
  <c r="AA52" i="3"/>
  <c r="Q27" i="3"/>
  <c r="Q45" i="3"/>
  <c r="Q14" i="3"/>
  <c r="Q35" i="3"/>
  <c r="D19" i="1"/>
  <c r="F22" i="1" s="1"/>
  <c r="F23" i="1" s="1"/>
  <c r="F73" i="21"/>
  <c r="F93" i="21"/>
  <c r="F113" i="21"/>
  <c r="F54" i="21"/>
  <c r="F74" i="21"/>
  <c r="F94" i="21"/>
  <c r="F114" i="21"/>
  <c r="F55" i="21"/>
  <c r="F75" i="21"/>
  <c r="F95" i="21"/>
  <c r="F115" i="21"/>
  <c r="F22" i="21"/>
  <c r="G22" i="21" s="1"/>
  <c r="F16" i="21"/>
  <c r="G16" i="21" s="1"/>
  <c r="F56" i="21"/>
  <c r="F76" i="21"/>
  <c r="F96" i="21"/>
  <c r="F116" i="21"/>
  <c r="F18" i="21"/>
  <c r="G18" i="21" s="1"/>
  <c r="F57" i="21"/>
  <c r="F77" i="21"/>
  <c r="F97" i="21"/>
  <c r="F117" i="21"/>
  <c r="F58" i="21"/>
  <c r="F78" i="21"/>
  <c r="F98" i="21"/>
  <c r="F118" i="21"/>
  <c r="F59" i="21"/>
  <c r="F79" i="21"/>
  <c r="F99" i="21"/>
  <c r="F119" i="21"/>
  <c r="F60" i="21"/>
  <c r="F80" i="21"/>
  <c r="F100" i="21"/>
  <c r="F120" i="21"/>
  <c r="F61" i="21"/>
  <c r="F81" i="21"/>
  <c r="F101" i="21"/>
  <c r="F121" i="21"/>
  <c r="F62" i="21"/>
  <c r="F82" i="21"/>
  <c r="F102" i="21"/>
  <c r="F122" i="21"/>
  <c r="F63" i="21"/>
  <c r="F83" i="21"/>
  <c r="F103" i="21"/>
  <c r="F123" i="21"/>
  <c r="F12" i="21"/>
  <c r="G12" i="21" s="1"/>
  <c r="F64" i="21"/>
  <c r="F84" i="21"/>
  <c r="F104" i="21"/>
  <c r="F124" i="21"/>
  <c r="F65" i="21"/>
  <c r="F85" i="21"/>
  <c r="F105" i="21"/>
  <c r="F125" i="21"/>
  <c r="F66" i="21"/>
  <c r="F86" i="21"/>
  <c r="F106" i="21"/>
  <c r="F126" i="21"/>
  <c r="F67" i="21"/>
  <c r="F87" i="21"/>
  <c r="F107" i="21"/>
  <c r="F127" i="21"/>
  <c r="F68" i="21"/>
  <c r="F88" i="21"/>
  <c r="F108" i="21"/>
  <c r="F128" i="21"/>
  <c r="F17" i="21"/>
  <c r="G17" i="21" s="1"/>
  <c r="F8" i="21"/>
  <c r="G8" i="21" s="1"/>
  <c r="F69" i="21"/>
  <c r="F89" i="21"/>
  <c r="F109" i="21"/>
  <c r="F129" i="21"/>
  <c r="F70" i="21"/>
  <c r="F90" i="21"/>
  <c r="F110" i="21"/>
  <c r="F130" i="21"/>
  <c r="F71" i="21"/>
  <c r="F91" i="21"/>
  <c r="F111" i="21"/>
  <c r="F131" i="21"/>
  <c r="F72" i="21"/>
  <c r="F92" i="21"/>
  <c r="F112" i="21"/>
  <c r="F21" i="21"/>
  <c r="G21" i="21" s="1"/>
  <c r="F10" i="21"/>
  <c r="G10" i="21" s="1"/>
  <c r="F35" i="21"/>
  <c r="G35" i="21" s="1"/>
  <c r="F48" i="21"/>
  <c r="G48" i="21" s="1"/>
  <c r="F44" i="21"/>
  <c r="G44" i="21" s="1"/>
  <c r="F30" i="21"/>
  <c r="G30" i="21" s="1"/>
  <c r="F31" i="21"/>
  <c r="G31" i="21" s="1"/>
  <c r="F32" i="21"/>
  <c r="G32" i="21" s="1"/>
  <c r="F26" i="21"/>
  <c r="G26" i="21" s="1"/>
  <c r="F28" i="21"/>
  <c r="G28" i="21" s="1"/>
  <c r="F27" i="21"/>
  <c r="G27" i="21" s="1"/>
  <c r="F34" i="21"/>
  <c r="G34" i="21" s="1"/>
  <c r="F24" i="21"/>
  <c r="G24" i="21" s="1"/>
  <c r="F20" i="21"/>
  <c r="G20" i="21" s="1"/>
  <c r="F19" i="21"/>
  <c r="G19" i="21" s="1"/>
  <c r="F51" i="21"/>
  <c r="G51" i="21" s="1"/>
  <c r="F47" i="21"/>
  <c r="G47" i="21" s="1"/>
  <c r="F53" i="21"/>
  <c r="G53" i="21" s="1"/>
  <c r="F43" i="21"/>
  <c r="G43" i="21" s="1"/>
  <c r="F45" i="21"/>
  <c r="G45" i="21" s="1"/>
  <c r="F50" i="21"/>
  <c r="G50" i="21" s="1"/>
  <c r="F15" i="21"/>
  <c r="G15" i="21" s="1"/>
  <c r="F40" i="21"/>
  <c r="G40" i="21" s="1"/>
  <c r="F13" i="21"/>
  <c r="G13" i="21" s="1"/>
  <c r="F36" i="21"/>
  <c r="G36" i="21" s="1"/>
  <c r="F49" i="21"/>
  <c r="G49" i="21" s="1"/>
  <c r="F39" i="21"/>
  <c r="G39" i="21" s="1"/>
  <c r="F41" i="21"/>
  <c r="G41" i="21" s="1"/>
  <c r="F46" i="21"/>
  <c r="G46" i="21" s="1"/>
  <c r="F25" i="21"/>
  <c r="G25" i="21" s="1"/>
  <c r="F14" i="21"/>
  <c r="G14" i="21" s="1"/>
  <c r="F37" i="21"/>
  <c r="G37" i="21" s="1"/>
  <c r="F42" i="21"/>
  <c r="G42" i="21" s="1"/>
  <c r="F11" i="21"/>
  <c r="G11" i="21" s="1"/>
  <c r="F33" i="21"/>
  <c r="G33" i="21" s="1"/>
  <c r="F38" i="21"/>
  <c r="G38" i="21" s="1"/>
  <c r="F52" i="21"/>
  <c r="G52" i="21" s="1"/>
  <c r="G7" i="21"/>
  <c r="F29" i="21"/>
  <c r="G29" i="21" s="1"/>
  <c r="F23" i="21"/>
  <c r="G23" i="21" s="1"/>
  <c r="F9" i="21"/>
  <c r="G9" i="21" s="1"/>
  <c r="G7" i="3"/>
  <c r="G44" i="3"/>
  <c r="G15" i="3"/>
  <c r="G25" i="3"/>
  <c r="G35" i="3"/>
  <c r="G45" i="3"/>
  <c r="G9" i="3"/>
  <c r="G16" i="3"/>
  <c r="G26" i="3"/>
  <c r="G29" i="3"/>
  <c r="G36" i="3"/>
  <c r="G46" i="3"/>
  <c r="G49" i="3"/>
  <c r="G17" i="3"/>
  <c r="G27" i="3"/>
  <c r="G10" i="3"/>
  <c r="G37" i="3"/>
  <c r="G47" i="3"/>
  <c r="G30" i="3"/>
  <c r="G18" i="3"/>
  <c r="G8" i="3"/>
  <c r="G50" i="3"/>
  <c r="G38" i="3"/>
  <c r="G28" i="3"/>
  <c r="G11" i="3"/>
  <c r="G19" i="3"/>
  <c r="G48" i="3"/>
  <c r="G31" i="3"/>
  <c r="G39" i="3"/>
  <c r="G51" i="3"/>
  <c r="G20" i="3"/>
  <c r="G12" i="3"/>
  <c r="G40" i="3"/>
  <c r="G32" i="3"/>
  <c r="G21" i="3"/>
  <c r="G52" i="3"/>
  <c r="G41" i="3"/>
  <c r="G13" i="3"/>
  <c r="G22" i="3"/>
  <c r="G33" i="3"/>
  <c r="G42" i="3"/>
  <c r="G53" i="3"/>
  <c r="G23" i="3"/>
  <c r="G14" i="3"/>
  <c r="G43" i="3"/>
  <c r="G34" i="3"/>
  <c r="G24" i="3"/>
  <c r="Q48" i="3"/>
  <c r="R7" i="3"/>
  <c r="R3" i="3" s="1"/>
  <c r="Q46" i="3"/>
  <c r="Q9" i="3"/>
  <c r="Q51" i="3"/>
  <c r="Q20" i="3"/>
  <c r="Q49" i="3"/>
  <c r="Q38" i="3"/>
  <c r="AT50" i="21"/>
  <c r="AV50" i="21" s="1"/>
  <c r="AB50" i="21"/>
  <c r="Z49" i="21"/>
  <c r="AA51" i="21"/>
  <c r="Q37" i="3"/>
  <c r="Q12" i="3"/>
  <c r="Q31" i="3"/>
  <c r="Q41" i="3"/>
  <c r="Q33" i="3"/>
  <c r="Q29" i="3"/>
  <c r="Q15" i="3"/>
  <c r="L3" i="3"/>
  <c r="Q21" i="3"/>
  <c r="Q42" i="3"/>
  <c r="Q43" i="3"/>
  <c r="J20" i="14"/>
  <c r="H20" i="14"/>
  <c r="AL66" i="14"/>
  <c r="F1" i="4"/>
  <c r="B8" i="18"/>
  <c r="C13" i="7"/>
  <c r="C12" i="7"/>
  <c r="D39" i="1" s="1"/>
  <c r="G27" i="8"/>
  <c r="M27" i="14"/>
  <c r="I11" i="14"/>
  <c r="H11" i="14"/>
  <c r="D37" i="1" l="1"/>
  <c r="AU52" i="3"/>
  <c r="AW52" i="3" s="1"/>
  <c r="AC52" i="3"/>
  <c r="AB52" i="3" s="1"/>
  <c r="G3" i="3"/>
  <c r="H3" i="3" s="1"/>
  <c r="G3" i="21"/>
  <c r="H3" i="21" s="1"/>
  <c r="Q3" i="3"/>
  <c r="G39" i="14" s="1"/>
  <c r="T31" i="14" s="1"/>
  <c r="AB49" i="21"/>
  <c r="AT49" i="21"/>
  <c r="AV49" i="21" s="1"/>
  <c r="Z48" i="21"/>
  <c r="AA50" i="21"/>
  <c r="C33" i="7"/>
  <c r="E36" i="1"/>
  <c r="F37" i="1" s="1"/>
  <c r="G40" i="14" l="1"/>
  <c r="T9" i="14" s="1"/>
  <c r="W56" i="14" s="1"/>
  <c r="G38" i="14"/>
  <c r="AB48" i="21"/>
  <c r="AT48" i="21"/>
  <c r="AV48" i="21" s="1"/>
  <c r="Z47" i="21"/>
  <c r="AA49" i="21"/>
  <c r="G41" i="14"/>
  <c r="W77" i="14"/>
  <c r="AB47" i="21" l="1"/>
  <c r="AT47" i="21"/>
  <c r="AV47" i="21" s="1"/>
  <c r="Z46" i="21"/>
  <c r="AA48" i="21"/>
  <c r="AA51" i="3"/>
  <c r="AT46" i="21" l="1"/>
  <c r="AV46" i="21" s="1"/>
  <c r="AB46" i="21"/>
  <c r="Z45" i="21"/>
  <c r="AA47" i="21"/>
  <c r="AC51" i="3"/>
  <c r="AB51" i="3" s="1"/>
  <c r="AU51" i="3"/>
  <c r="AW51" i="3" s="1"/>
  <c r="AA50" i="3"/>
  <c r="AA46" i="21" l="1"/>
  <c r="AB45" i="21"/>
  <c r="AT45" i="21"/>
  <c r="AV45" i="21" s="1"/>
  <c r="Z44" i="21"/>
  <c r="AU50" i="3"/>
  <c r="AW50" i="3" s="1"/>
  <c r="AA49" i="3"/>
  <c r="AC50" i="3"/>
  <c r="AB50" i="3" s="1"/>
  <c r="AB44" i="21" l="1"/>
  <c r="AT44" i="21"/>
  <c r="AV44" i="21" s="1"/>
  <c r="Z43" i="21"/>
  <c r="AA45" i="21"/>
  <c r="AA48" i="3"/>
  <c r="AU49" i="3"/>
  <c r="AW49" i="3" s="1"/>
  <c r="AC49" i="3"/>
  <c r="AB49" i="3" s="1"/>
  <c r="AB43" i="21" l="1"/>
  <c r="AT43" i="21"/>
  <c r="AV43" i="21" s="1"/>
  <c r="Z42" i="21"/>
  <c r="AA44" i="21"/>
  <c r="AA47" i="3"/>
  <c r="AC48" i="3"/>
  <c r="AB48" i="3" s="1"/>
  <c r="AU48" i="3"/>
  <c r="AW48" i="3" s="1"/>
  <c r="AT42" i="21" l="1"/>
  <c r="AV42" i="21" s="1"/>
  <c r="AB42" i="21"/>
  <c r="Z41" i="21"/>
  <c r="AA43" i="21"/>
  <c r="AC47" i="3"/>
  <c r="AB47" i="3" s="1"/>
  <c r="AU47" i="3"/>
  <c r="AW47" i="3" s="1"/>
  <c r="AA46" i="3"/>
  <c r="AB41" i="21" l="1"/>
  <c r="AT41" i="21"/>
  <c r="AV41" i="21" s="1"/>
  <c r="Z40" i="21"/>
  <c r="AA42" i="21"/>
  <c r="AC46" i="3"/>
  <c r="AB46" i="3" s="1"/>
  <c r="AA45" i="3"/>
  <c r="AU46" i="3"/>
  <c r="AW46" i="3" s="1"/>
  <c r="AB40" i="21" l="1"/>
  <c r="AT40" i="21"/>
  <c r="AV40" i="21" s="1"/>
  <c r="Z39" i="21"/>
  <c r="AA41" i="21"/>
  <c r="AU45" i="3"/>
  <c r="AW45" i="3" s="1"/>
  <c r="AC45" i="3"/>
  <c r="AB45" i="3" s="1"/>
  <c r="AA44" i="3"/>
  <c r="AB39" i="21" l="1"/>
  <c r="AT39" i="21"/>
  <c r="AV39" i="21" s="1"/>
  <c r="Z38" i="21"/>
  <c r="AA40" i="21"/>
  <c r="AU44" i="3"/>
  <c r="AW44" i="3" s="1"/>
  <c r="AC44" i="3"/>
  <c r="AB44" i="3" s="1"/>
  <c r="AA43" i="3"/>
  <c r="AA39" i="21" l="1"/>
  <c r="AT38" i="21"/>
  <c r="AV38" i="21" s="1"/>
  <c r="AB38" i="21"/>
  <c r="Z37" i="21"/>
  <c r="AA42" i="3"/>
  <c r="AC43" i="3"/>
  <c r="AB43" i="3" s="1"/>
  <c r="AU43" i="3"/>
  <c r="AW43" i="3" s="1"/>
  <c r="AB37" i="21" l="1"/>
  <c r="AT37" i="21"/>
  <c r="AV37" i="21" s="1"/>
  <c r="Z36" i="21"/>
  <c r="AA38" i="21"/>
  <c r="AC42" i="3"/>
  <c r="AB42" i="3" s="1"/>
  <c r="AA41" i="3"/>
  <c r="AU42" i="3"/>
  <c r="AW42" i="3" s="1"/>
  <c r="AA37" i="21" l="1"/>
  <c r="AB36" i="21"/>
  <c r="AT36" i="21"/>
  <c r="AV36" i="21" s="1"/>
  <c r="Z35" i="21"/>
  <c r="AU41" i="3"/>
  <c r="AW41" i="3" s="1"/>
  <c r="AA40" i="3"/>
  <c r="AC41" i="3"/>
  <c r="AB41" i="3" s="1"/>
  <c r="AB35" i="21" l="1"/>
  <c r="AT35" i="21"/>
  <c r="AV35" i="21" s="1"/>
  <c r="Z34" i="21"/>
  <c r="AA36" i="21"/>
  <c r="AA39" i="3"/>
  <c r="AU40" i="3"/>
  <c r="AW40" i="3" s="1"/>
  <c r="AC40" i="3"/>
  <c r="AB40" i="3" s="1"/>
  <c r="AT34" i="21" l="1"/>
  <c r="AV34" i="21" s="1"/>
  <c r="AB34" i="21"/>
  <c r="Z33" i="21"/>
  <c r="AA35" i="21"/>
  <c r="AU39" i="3"/>
  <c r="AW39" i="3" s="1"/>
  <c r="AA38" i="3"/>
  <c r="AC39" i="3"/>
  <c r="AB39" i="3" s="1"/>
  <c r="AA34" i="21" l="1"/>
  <c r="AB33" i="21"/>
  <c r="AT33" i="21"/>
  <c r="AV33" i="21" s="1"/>
  <c r="Z32" i="21"/>
  <c r="AA37" i="3"/>
  <c r="AU38" i="3"/>
  <c r="AW38" i="3" s="1"/>
  <c r="AC38" i="3"/>
  <c r="AB38" i="3" s="1"/>
  <c r="AA33" i="21" l="1"/>
  <c r="AB32" i="21"/>
  <c r="AT32" i="21"/>
  <c r="AV32" i="21" s="1"/>
  <c r="Z31" i="21"/>
  <c r="AC37" i="3"/>
  <c r="AB37" i="3" s="1"/>
  <c r="AA36" i="3"/>
  <c r="AU37" i="3"/>
  <c r="AW37" i="3" s="1"/>
  <c r="AB31" i="21" l="1"/>
  <c r="AT31" i="21"/>
  <c r="AV31" i="21" s="1"/>
  <c r="Z30" i="21"/>
  <c r="AA32" i="21"/>
  <c r="AC36" i="3"/>
  <c r="AB36" i="3" s="1"/>
  <c r="AU36" i="3"/>
  <c r="AW36" i="3" s="1"/>
  <c r="AA35" i="3"/>
  <c r="AT30" i="21" l="1"/>
  <c r="AV30" i="21" s="1"/>
  <c r="AB30" i="21"/>
  <c r="Z29" i="21"/>
  <c r="AA31" i="21"/>
  <c r="AC35" i="3"/>
  <c r="AB35" i="3" s="1"/>
  <c r="AU35" i="3"/>
  <c r="AW35" i="3" s="1"/>
  <c r="AA34" i="3"/>
  <c r="AB29" i="21" l="1"/>
  <c r="AT29" i="21"/>
  <c r="AV29" i="21" s="1"/>
  <c r="Z28" i="21"/>
  <c r="AA30" i="21"/>
  <c r="AC34" i="3"/>
  <c r="AB34" i="3" s="1"/>
  <c r="AU34" i="3"/>
  <c r="AW34" i="3" s="1"/>
  <c r="AA33" i="3"/>
  <c r="AB28" i="21" l="1"/>
  <c r="AT28" i="21"/>
  <c r="AV28" i="21" s="1"/>
  <c r="Z27" i="21"/>
  <c r="AA29" i="21"/>
  <c r="AC33" i="3"/>
  <c r="AB33" i="3" s="1"/>
  <c r="AU33" i="3"/>
  <c r="AW33" i="3" s="1"/>
  <c r="AA32" i="3"/>
  <c r="AA28" i="21" l="1"/>
  <c r="AB27" i="21"/>
  <c r="AT27" i="21"/>
  <c r="AV27" i="21" s="1"/>
  <c r="Z26" i="21"/>
  <c r="AC32" i="3"/>
  <c r="AB32" i="3" s="1"/>
  <c r="AU32" i="3"/>
  <c r="AW32" i="3" s="1"/>
  <c r="AA31" i="3"/>
  <c r="AT26" i="21" l="1"/>
  <c r="AV26" i="21" s="1"/>
  <c r="AB26" i="21"/>
  <c r="Z25" i="21"/>
  <c r="AA27" i="21"/>
  <c r="AC31" i="3"/>
  <c r="AB31" i="3" s="1"/>
  <c r="AU31" i="3"/>
  <c r="AW31" i="3" s="1"/>
  <c r="AA30" i="3"/>
  <c r="AA26" i="21" l="1"/>
  <c r="AB25" i="21"/>
  <c r="AT25" i="21"/>
  <c r="AV25" i="21" s="1"/>
  <c r="Z24" i="21"/>
  <c r="AU30" i="3"/>
  <c r="AW30" i="3" s="1"/>
  <c r="AA29" i="3"/>
  <c r="AC30" i="3"/>
  <c r="AB30" i="3" s="1"/>
  <c r="AA25" i="21" l="1"/>
  <c r="AT24" i="21"/>
  <c r="AV24" i="21" s="1"/>
  <c r="AB24" i="21"/>
  <c r="Z23" i="21"/>
  <c r="AU29" i="3"/>
  <c r="AW29" i="3" s="1"/>
  <c r="AC29" i="3"/>
  <c r="AB29" i="3" s="1"/>
  <c r="AA28" i="3"/>
  <c r="AA24" i="21" l="1"/>
  <c r="AB23" i="21"/>
  <c r="AT23" i="21"/>
  <c r="AV23" i="21" s="1"/>
  <c r="Z22" i="21"/>
  <c r="AC28" i="3"/>
  <c r="AB28" i="3" s="1"/>
  <c r="AU28" i="3"/>
  <c r="AW28" i="3" s="1"/>
  <c r="AA27" i="3"/>
  <c r="AT22" i="21" l="1"/>
  <c r="AV22" i="21" s="1"/>
  <c r="AB22" i="21"/>
  <c r="Z21" i="21"/>
  <c r="AA23" i="21"/>
  <c r="AU27" i="3"/>
  <c r="AW27" i="3" s="1"/>
  <c r="AA26" i="3"/>
  <c r="AC27" i="3"/>
  <c r="AB27" i="3" s="1"/>
  <c r="AB21" i="21" l="1"/>
  <c r="AT21" i="21"/>
  <c r="AV21" i="21" s="1"/>
  <c r="Z20" i="21"/>
  <c r="AA22" i="21"/>
  <c r="AU26" i="3"/>
  <c r="AW26" i="3" s="1"/>
  <c r="AC26" i="3"/>
  <c r="AB26" i="3" s="1"/>
  <c r="AA25" i="3"/>
  <c r="Z19" i="21" l="1"/>
  <c r="AB20" i="21"/>
  <c r="AT20" i="21"/>
  <c r="AV20" i="21" s="1"/>
  <c r="AA21" i="21"/>
  <c r="AC25" i="3"/>
  <c r="AB25" i="3" s="1"/>
  <c r="AU25" i="3"/>
  <c r="AW25" i="3" s="1"/>
  <c r="AA24" i="3"/>
  <c r="AA20" i="21" l="1"/>
  <c r="AB19" i="21"/>
  <c r="AT19" i="21"/>
  <c r="AV19" i="21" s="1"/>
  <c r="Z18" i="21"/>
  <c r="AU24" i="3"/>
  <c r="AW24" i="3" s="1"/>
  <c r="AC24" i="3"/>
  <c r="AB24" i="3" s="1"/>
  <c r="AA23" i="3"/>
  <c r="AT18" i="21" l="1"/>
  <c r="AV18" i="21" s="1"/>
  <c r="AB18" i="21"/>
  <c r="Z17" i="21"/>
  <c r="AA19" i="21"/>
  <c r="AU23" i="3"/>
  <c r="AW23" i="3" s="1"/>
  <c r="AC23" i="3"/>
  <c r="AB23" i="3" s="1"/>
  <c r="AA22" i="3"/>
  <c r="AA18" i="21" l="1"/>
  <c r="AB17" i="21"/>
  <c r="AT17" i="21"/>
  <c r="AV17" i="21" s="1"/>
  <c r="Z16" i="21"/>
  <c r="AU22" i="3"/>
  <c r="AW22" i="3" s="1"/>
  <c r="AA21" i="3"/>
  <c r="AC22" i="3"/>
  <c r="AB22" i="3" s="1"/>
  <c r="AT16" i="21" l="1"/>
  <c r="AV16" i="21" s="1"/>
  <c r="AB16" i="21"/>
  <c r="Z15" i="21"/>
  <c r="AA17" i="21"/>
  <c r="AC21" i="3"/>
  <c r="AB21" i="3" s="1"/>
  <c r="AU21" i="3"/>
  <c r="AW21" i="3" s="1"/>
  <c r="AA20" i="3"/>
  <c r="AT15" i="21" l="1"/>
  <c r="AV15" i="21" s="1"/>
  <c r="AB15" i="21"/>
  <c r="Z14" i="21"/>
  <c r="AA16" i="21"/>
  <c r="AC20" i="3"/>
  <c r="AB20" i="3" s="1"/>
  <c r="AU20" i="3"/>
  <c r="AW20" i="3" s="1"/>
  <c r="AA19" i="3"/>
  <c r="AA15" i="21" l="1"/>
  <c r="AT14" i="21"/>
  <c r="AV14" i="21" s="1"/>
  <c r="AB14" i="21"/>
  <c r="Z13" i="21"/>
  <c r="AC19" i="3"/>
  <c r="AB19" i="3" s="1"/>
  <c r="AU19" i="3"/>
  <c r="AW19" i="3" s="1"/>
  <c r="AA18" i="3"/>
  <c r="AB13" i="21" l="1"/>
  <c r="AT13" i="21"/>
  <c r="AV13" i="21" s="1"/>
  <c r="Z12" i="21"/>
  <c r="AA14" i="21"/>
  <c r="AU18" i="3"/>
  <c r="AW18" i="3" s="1"/>
  <c r="AC18" i="3"/>
  <c r="AB18" i="3" s="1"/>
  <c r="AA17" i="3"/>
  <c r="AT12" i="21" l="1"/>
  <c r="AV12" i="21" s="1"/>
  <c r="AB12" i="21"/>
  <c r="Z11" i="21"/>
  <c r="AA13" i="21"/>
  <c r="AU17" i="3"/>
  <c r="AW17" i="3" s="1"/>
  <c r="AC17" i="3"/>
  <c r="AB17" i="3" s="1"/>
  <c r="AA16" i="3"/>
  <c r="AA12" i="21" l="1"/>
  <c r="AT11" i="21"/>
  <c r="AV11" i="21" s="1"/>
  <c r="AB11" i="21"/>
  <c r="Z10" i="21"/>
  <c r="AC16" i="3"/>
  <c r="AB16" i="3" s="1"/>
  <c r="AU16" i="3"/>
  <c r="AW16" i="3" s="1"/>
  <c r="AA15" i="3"/>
  <c r="AA11" i="21" l="1"/>
  <c r="AB10" i="21"/>
  <c r="AT10" i="21"/>
  <c r="AV10" i="21" s="1"/>
  <c r="Z9" i="21"/>
  <c r="AU15" i="3"/>
  <c r="AW15" i="3" s="1"/>
  <c r="AC15" i="3"/>
  <c r="AB15" i="3" s="1"/>
  <c r="AA14" i="3"/>
  <c r="AB9" i="21" l="1"/>
  <c r="AT9" i="21"/>
  <c r="AV9" i="21" s="1"/>
  <c r="Z8" i="21"/>
  <c r="AA10" i="21"/>
  <c r="AU14" i="3"/>
  <c r="AW14" i="3" s="1"/>
  <c r="AC14" i="3"/>
  <c r="AB14" i="3" s="1"/>
  <c r="AA13" i="3"/>
  <c r="AT8" i="21" l="1"/>
  <c r="AV8" i="21" s="1"/>
  <c r="AB8" i="21"/>
  <c r="Z7" i="21"/>
  <c r="AA9" i="21"/>
  <c r="AC13" i="3"/>
  <c r="AB13" i="3" s="1"/>
  <c r="AU13" i="3"/>
  <c r="AW13" i="3" s="1"/>
  <c r="AA12" i="3"/>
  <c r="AA8" i="21" l="1"/>
  <c r="AB7" i="21"/>
  <c r="AT7" i="21"/>
  <c r="AV7" i="21" s="1"/>
  <c r="AW8" i="21" s="1"/>
  <c r="AW9" i="21" s="1"/>
  <c r="AU12" i="3"/>
  <c r="AW12" i="3" s="1"/>
  <c r="AC12" i="3"/>
  <c r="AB12" i="3" s="1"/>
  <c r="AA11" i="3"/>
  <c r="AX9" i="21" l="1"/>
  <c r="AW10" i="21"/>
  <c r="AA7" i="21"/>
  <c r="AY9" i="21"/>
  <c r="AY10" i="21" s="1"/>
  <c r="AX8" i="21"/>
  <c r="AC11" i="3"/>
  <c r="AB11" i="3" s="1"/>
  <c r="AU11" i="3"/>
  <c r="AW11" i="3" s="1"/>
  <c r="AA10" i="3"/>
  <c r="AL8" i="21" l="1"/>
  <c r="AE9" i="21"/>
  <c r="AF9" i="21" s="1"/>
  <c r="AG9" i="21" s="1"/>
  <c r="AH8" i="21"/>
  <c r="AD8" i="21"/>
  <c r="AO8" i="21"/>
  <c r="AK8" i="21"/>
  <c r="AM8" i="21"/>
  <c r="AN8" i="21"/>
  <c r="AJ8" i="21"/>
  <c r="AX10" i="21"/>
  <c r="AY11" i="21"/>
  <c r="AW11" i="21"/>
  <c r="AC10" i="3"/>
  <c r="AB10" i="3" s="1"/>
  <c r="AA9" i="3"/>
  <c r="AU10" i="3"/>
  <c r="AW10" i="3" s="1"/>
  <c r="AH9" i="21" l="1"/>
  <c r="AD9" i="21"/>
  <c r="AL9" i="21"/>
  <c r="AE10" i="21"/>
  <c r="AF10" i="21" s="1"/>
  <c r="AG10" i="21" s="1"/>
  <c r="AJ9" i="21"/>
  <c r="AK9" i="21"/>
  <c r="AM9" i="21"/>
  <c r="AN9" i="21"/>
  <c r="AO9" i="21"/>
  <c r="AY12" i="21"/>
  <c r="AX11" i="21"/>
  <c r="AW12" i="21"/>
  <c r="AC9" i="3"/>
  <c r="AB9" i="3" s="1"/>
  <c r="AA8" i="3"/>
  <c r="AU9" i="3"/>
  <c r="AW9" i="3" s="1"/>
  <c r="AY13" i="21" l="1"/>
  <c r="AX12" i="21"/>
  <c r="AW13" i="21"/>
  <c r="AD10" i="21"/>
  <c r="AN10" i="21"/>
  <c r="AE11" i="21"/>
  <c r="AF11" i="21" s="1"/>
  <c r="AG11" i="21" s="1"/>
  <c r="AJ10" i="21"/>
  <c r="AH10" i="21"/>
  <c r="AO10" i="21"/>
  <c r="AK10" i="21"/>
  <c r="AM10" i="21"/>
  <c r="AL10" i="21"/>
  <c r="AC8" i="3"/>
  <c r="AB8" i="3" s="1"/>
  <c r="AU8" i="3"/>
  <c r="AW8" i="3" s="1"/>
  <c r="AA7" i="3"/>
  <c r="AL11" i="21" l="1"/>
  <c r="AD11" i="21"/>
  <c r="AE12" i="21"/>
  <c r="AF12" i="21" s="1"/>
  <c r="AG12" i="21" s="1"/>
  <c r="AH11" i="21"/>
  <c r="AN11" i="21"/>
  <c r="AK11" i="21"/>
  <c r="AJ11" i="21"/>
  <c r="AM11" i="21"/>
  <c r="AO11" i="21"/>
  <c r="AY14" i="21"/>
  <c r="AX13" i="21"/>
  <c r="AW14" i="21"/>
  <c r="AU7" i="3"/>
  <c r="AC7" i="3"/>
  <c r="AB7" i="3" l="1"/>
  <c r="AL12" i="21"/>
  <c r="AE13" i="21"/>
  <c r="AF13" i="21" s="1"/>
  <c r="AG13" i="21" s="1"/>
  <c r="AH12" i="21"/>
  <c r="AD12" i="21"/>
  <c r="AO12" i="21"/>
  <c r="AN12" i="21"/>
  <c r="AJ12" i="21"/>
  <c r="AM12" i="21"/>
  <c r="AK12" i="21"/>
  <c r="AX14" i="21"/>
  <c r="AY15" i="21"/>
  <c r="AW15" i="21"/>
  <c r="AN8" i="3"/>
  <c r="AE8" i="3"/>
  <c r="AP8" i="3"/>
  <c r="AK8" i="3"/>
  <c r="AF9" i="3"/>
  <c r="AG9" i="3" s="1"/>
  <c r="AH9" i="3" s="1"/>
  <c r="D11" i="1" a="1"/>
  <c r="D11" i="1" s="1"/>
  <c r="AW7" i="3"/>
  <c r="AX8" i="3" s="1"/>
  <c r="AY16" i="21" l="1"/>
  <c r="AX15" i="21"/>
  <c r="AW16" i="21"/>
  <c r="AD13" i="21"/>
  <c r="AH13" i="21"/>
  <c r="AL13" i="21"/>
  <c r="AM13" i="21"/>
  <c r="AN13" i="21"/>
  <c r="AE14" i="21"/>
  <c r="AF14" i="21" s="1"/>
  <c r="AG14" i="21" s="1"/>
  <c r="AK13" i="21"/>
  <c r="AJ13" i="21"/>
  <c r="AO13" i="21"/>
  <c r="AF10" i="3"/>
  <c r="AG10" i="3" s="1"/>
  <c r="AH10" i="3" s="1"/>
  <c r="AY8" i="3"/>
  <c r="AZ9" i="3"/>
  <c r="AX9" i="3"/>
  <c r="AP9" i="3"/>
  <c r="AK9" i="3" l="1"/>
  <c r="AE9" i="3"/>
  <c r="AN9" i="3"/>
  <c r="AD14" i="21"/>
  <c r="AN14" i="21"/>
  <c r="AE15" i="21"/>
  <c r="AF15" i="21" s="1"/>
  <c r="AG15" i="21" s="1"/>
  <c r="AJ14" i="21"/>
  <c r="AM14" i="21"/>
  <c r="AO14" i="21"/>
  <c r="AL14" i="21"/>
  <c r="AK14" i="21"/>
  <c r="AH14" i="21"/>
  <c r="AY17" i="21"/>
  <c r="AX16" i="21"/>
  <c r="AW17" i="21"/>
  <c r="AP10" i="3"/>
  <c r="AF11" i="3"/>
  <c r="AG11" i="3" s="1"/>
  <c r="AH11" i="3" s="1"/>
  <c r="AZ10" i="3"/>
  <c r="AY9" i="3"/>
  <c r="AX10" i="3"/>
  <c r="AE10" i="3" l="1"/>
  <c r="AN10" i="3"/>
  <c r="AK10" i="3"/>
  <c r="AL15" i="21"/>
  <c r="AJ15" i="21"/>
  <c r="AH15" i="21"/>
  <c r="AD15" i="21"/>
  <c r="AE16" i="21"/>
  <c r="AF16" i="21" s="1"/>
  <c r="AG16" i="21" s="1"/>
  <c r="AK15" i="21"/>
  <c r="AN15" i="21"/>
  <c r="AM15" i="21"/>
  <c r="AO15" i="21"/>
  <c r="AX17" i="21"/>
  <c r="AY18" i="21"/>
  <c r="AW18" i="21"/>
  <c r="AF12" i="3"/>
  <c r="AG12" i="3" s="1"/>
  <c r="AH12" i="3" s="1"/>
  <c r="AZ11" i="3"/>
  <c r="AY10" i="3"/>
  <c r="AX11" i="3"/>
  <c r="AE11" i="3" l="1"/>
  <c r="AK11" i="3"/>
  <c r="AN11" i="3"/>
  <c r="AP11" i="3"/>
  <c r="AX18" i="21"/>
  <c r="AY19" i="21"/>
  <c r="AW19" i="21"/>
  <c r="AK16" i="21"/>
  <c r="AL16" i="21"/>
  <c r="AH16" i="21"/>
  <c r="AD16" i="21"/>
  <c r="AE17" i="21"/>
  <c r="AF17" i="21" s="1"/>
  <c r="AG17" i="21" s="1"/>
  <c r="AO16" i="21"/>
  <c r="AJ16" i="21"/>
  <c r="AM16" i="21"/>
  <c r="AN16" i="21"/>
  <c r="AZ12" i="3"/>
  <c r="AY11" i="3"/>
  <c r="AX12" i="3"/>
  <c r="AN12" i="3" l="1"/>
  <c r="AF13" i="3"/>
  <c r="AG13" i="3" s="1"/>
  <c r="AH13" i="3" s="1"/>
  <c r="AK12" i="3"/>
  <c r="AP12" i="3"/>
  <c r="AE12" i="3"/>
  <c r="AD17" i="21"/>
  <c r="AM17" i="21"/>
  <c r="AL17" i="21"/>
  <c r="AE18" i="21"/>
  <c r="AF18" i="21" s="1"/>
  <c r="AG18" i="21" s="1"/>
  <c r="AH17" i="21"/>
  <c r="AN17" i="21"/>
  <c r="AO17" i="21"/>
  <c r="AK17" i="21"/>
  <c r="AJ17" i="21"/>
  <c r="AY20" i="21"/>
  <c r="AX19" i="21"/>
  <c r="AW20" i="21"/>
  <c r="AZ13" i="3"/>
  <c r="AY12" i="3"/>
  <c r="AX13" i="3"/>
  <c r="AE13" i="3" l="1"/>
  <c r="AP13" i="3"/>
  <c r="AK13" i="3"/>
  <c r="AN13" i="3"/>
  <c r="AF14" i="3"/>
  <c r="AG14" i="3" s="1"/>
  <c r="AH14" i="3" s="1"/>
  <c r="AL18" i="21"/>
  <c r="AE19" i="21"/>
  <c r="AF19" i="21" s="1"/>
  <c r="AG19" i="21" s="1"/>
  <c r="AK18" i="21"/>
  <c r="AH18" i="21"/>
  <c r="AD18" i="21"/>
  <c r="AJ18" i="21"/>
  <c r="AO18" i="21"/>
  <c r="AN18" i="21"/>
  <c r="AM18" i="21"/>
  <c r="AY21" i="21"/>
  <c r="AX20" i="21"/>
  <c r="AW21" i="21"/>
  <c r="AZ14" i="3"/>
  <c r="AY13" i="3"/>
  <c r="AX14" i="3"/>
  <c r="AE14" i="3" l="1"/>
  <c r="AK14" i="3"/>
  <c r="AN14" i="3"/>
  <c r="AF15" i="3"/>
  <c r="AG15" i="3" s="1"/>
  <c r="AH15" i="3" s="1"/>
  <c r="AP14" i="3"/>
  <c r="AX21" i="21"/>
  <c r="AY22" i="21"/>
  <c r="AW22" i="21"/>
  <c r="AL19" i="21"/>
  <c r="AH19" i="21"/>
  <c r="AE20" i="21"/>
  <c r="AF20" i="21" s="1"/>
  <c r="AG20" i="21" s="1"/>
  <c r="AO19" i="21"/>
  <c r="AJ19" i="21"/>
  <c r="AD19" i="21"/>
  <c r="AN19" i="21"/>
  <c r="AK19" i="21"/>
  <c r="AM19" i="21"/>
  <c r="AY14" i="3"/>
  <c r="AZ15" i="3"/>
  <c r="AX15" i="3"/>
  <c r="AF16" i="3" l="1"/>
  <c r="AG16" i="3" s="1"/>
  <c r="AH16" i="3" s="1"/>
  <c r="AK15" i="3"/>
  <c r="AP15" i="3"/>
  <c r="AE15" i="3"/>
  <c r="AN15" i="3"/>
  <c r="AH20" i="21"/>
  <c r="AD20" i="21"/>
  <c r="AL20" i="21"/>
  <c r="AJ20" i="21"/>
  <c r="AE21" i="21"/>
  <c r="AF21" i="21" s="1"/>
  <c r="AG21" i="21" s="1"/>
  <c r="AK20" i="21"/>
  <c r="AN20" i="21"/>
  <c r="AO20" i="21"/>
  <c r="AM20" i="21"/>
  <c r="AX22" i="21"/>
  <c r="AY23" i="21"/>
  <c r="AW23" i="21"/>
  <c r="AX16" i="3"/>
  <c r="AZ16" i="3"/>
  <c r="AY15" i="3"/>
  <c r="AP16" i="3" l="1"/>
  <c r="AK16" i="3"/>
  <c r="AE16" i="3"/>
  <c r="AN16" i="3"/>
  <c r="AF17" i="3"/>
  <c r="AG17" i="3" s="1"/>
  <c r="AH17" i="3" s="1"/>
  <c r="AY24" i="21"/>
  <c r="AX23" i="21"/>
  <c r="AW24" i="21"/>
  <c r="AD21" i="21"/>
  <c r="AE22" i="21"/>
  <c r="AF22" i="21" s="1"/>
  <c r="AG22" i="21" s="1"/>
  <c r="AM21" i="21"/>
  <c r="AL21" i="21"/>
  <c r="AJ21" i="21"/>
  <c r="AH21" i="21"/>
  <c r="AO21" i="21"/>
  <c r="AN21" i="21"/>
  <c r="AK21" i="21"/>
  <c r="AZ17" i="3"/>
  <c r="AY16" i="3"/>
  <c r="AX17" i="3"/>
  <c r="AP17" i="3" l="1"/>
  <c r="AK17" i="3"/>
  <c r="AE17" i="3"/>
  <c r="AF18" i="3"/>
  <c r="AG18" i="3" s="1"/>
  <c r="AH18" i="3" s="1"/>
  <c r="AN17" i="3"/>
  <c r="AD22" i="21"/>
  <c r="AE23" i="21"/>
  <c r="AF23" i="21" s="1"/>
  <c r="AG23" i="21" s="1"/>
  <c r="AO22" i="21"/>
  <c r="AJ22" i="21"/>
  <c r="AL22" i="21"/>
  <c r="AK22" i="21"/>
  <c r="AH22" i="21"/>
  <c r="AN22" i="21"/>
  <c r="AM22" i="21"/>
  <c r="AY25" i="21"/>
  <c r="AX24" i="21"/>
  <c r="AW25" i="21"/>
  <c r="AZ18" i="3"/>
  <c r="AY17" i="3"/>
  <c r="AX18" i="3"/>
  <c r="AN18" i="3" l="1"/>
  <c r="AF19" i="3"/>
  <c r="AG19" i="3" s="1"/>
  <c r="AH19" i="3" s="1"/>
  <c r="AP18" i="3"/>
  <c r="AE18" i="3"/>
  <c r="AK18" i="3"/>
  <c r="AL23" i="21"/>
  <c r="AH23" i="21"/>
  <c r="AD23" i="21"/>
  <c r="AE24" i="21"/>
  <c r="AF24" i="21" s="1"/>
  <c r="AG24" i="21" s="1"/>
  <c r="AK23" i="21"/>
  <c r="AM23" i="21"/>
  <c r="AO23" i="21"/>
  <c r="AJ23" i="21"/>
  <c r="AN23" i="21"/>
  <c r="AX25" i="21"/>
  <c r="AY26" i="21"/>
  <c r="AW26" i="21"/>
  <c r="AZ19" i="3"/>
  <c r="AX19" i="3"/>
  <c r="AY18" i="3"/>
  <c r="AK19" i="3" l="1"/>
  <c r="AP19" i="3"/>
  <c r="AN19" i="3"/>
  <c r="AF20" i="3"/>
  <c r="AG20" i="3" s="1"/>
  <c r="AH20" i="3" s="1"/>
  <c r="AE19" i="3"/>
  <c r="AY27" i="21"/>
  <c r="AX26" i="21"/>
  <c r="AW27" i="21"/>
  <c r="AH24" i="21"/>
  <c r="AD24" i="21"/>
  <c r="AE25" i="21"/>
  <c r="AF25" i="21" s="1"/>
  <c r="AG25" i="21" s="1"/>
  <c r="AL24" i="21"/>
  <c r="AM24" i="21"/>
  <c r="AK24" i="21"/>
  <c r="AO24" i="21"/>
  <c r="AN24" i="21"/>
  <c r="AJ24" i="21"/>
  <c r="AY19" i="3"/>
  <c r="AX20" i="3"/>
  <c r="AZ20" i="3"/>
  <c r="AN20" i="3" l="1"/>
  <c r="AP20" i="3"/>
  <c r="AK20" i="3"/>
  <c r="AF21" i="3"/>
  <c r="AG21" i="3" s="1"/>
  <c r="AH21" i="3" s="1"/>
  <c r="AE20" i="3"/>
  <c r="AD25" i="21"/>
  <c r="AH25" i="21"/>
  <c r="AM25" i="21"/>
  <c r="AL25" i="21"/>
  <c r="AN25" i="21"/>
  <c r="AO25" i="21"/>
  <c r="AK25" i="21"/>
  <c r="AE26" i="21"/>
  <c r="AF26" i="21" s="1"/>
  <c r="AG26" i="21" s="1"/>
  <c r="AJ25" i="21"/>
  <c r="AY28" i="21"/>
  <c r="AX27" i="21"/>
  <c r="AW28" i="21"/>
  <c r="AZ21" i="3"/>
  <c r="AY20" i="3"/>
  <c r="AX21" i="3"/>
  <c r="AK21" i="3" l="1"/>
  <c r="AP21" i="3"/>
  <c r="AF22" i="3"/>
  <c r="AG22" i="3" s="1"/>
  <c r="AH22" i="3" s="1"/>
  <c r="AN21" i="3"/>
  <c r="AE21" i="3"/>
  <c r="AL26" i="21"/>
  <c r="AH26" i="21"/>
  <c r="AE27" i="21"/>
  <c r="AF27" i="21" s="1"/>
  <c r="AG27" i="21" s="1"/>
  <c r="AD26" i="21"/>
  <c r="AN26" i="21"/>
  <c r="AO26" i="21"/>
  <c r="AK26" i="21"/>
  <c r="AJ26" i="21"/>
  <c r="AM26" i="21"/>
  <c r="AY29" i="21"/>
  <c r="AX28" i="21"/>
  <c r="AW29" i="21"/>
  <c r="AZ22" i="3"/>
  <c r="AY21" i="3"/>
  <c r="AX22" i="3"/>
  <c r="AF23" i="3" l="1"/>
  <c r="AG23" i="3" s="1"/>
  <c r="AH23" i="3" s="1"/>
  <c r="AP22" i="3"/>
  <c r="AN22" i="3"/>
  <c r="AE22" i="3"/>
  <c r="AK22" i="3"/>
  <c r="AX29" i="21"/>
  <c r="AY30" i="21"/>
  <c r="AW30" i="21"/>
  <c r="AL27" i="21"/>
  <c r="AH27" i="21"/>
  <c r="AE28" i="21"/>
  <c r="AF28" i="21" s="1"/>
  <c r="AG28" i="21" s="1"/>
  <c r="AD27" i="21"/>
  <c r="AO27" i="21"/>
  <c r="AM27" i="21"/>
  <c r="AN27" i="21"/>
  <c r="AK27" i="21"/>
  <c r="AJ27" i="21"/>
  <c r="AY22" i="3"/>
  <c r="AZ23" i="3"/>
  <c r="AX23" i="3"/>
  <c r="AF24" i="3" l="1"/>
  <c r="AG24" i="3" s="1"/>
  <c r="AH24" i="3" s="1"/>
  <c r="AE23" i="3"/>
  <c r="AP23" i="3"/>
  <c r="AN23" i="3"/>
  <c r="AK23" i="3"/>
  <c r="AH28" i="21"/>
  <c r="AD28" i="21"/>
  <c r="AM28" i="21"/>
  <c r="AJ28" i="21"/>
  <c r="AK28" i="21"/>
  <c r="AL28" i="21"/>
  <c r="AE29" i="21"/>
  <c r="AF29" i="21" s="1"/>
  <c r="AG29" i="21" s="1"/>
  <c r="AN28" i="21"/>
  <c r="AO28" i="21"/>
  <c r="AY31" i="21"/>
  <c r="AX30" i="21"/>
  <c r="AW31" i="21"/>
  <c r="AZ24" i="3"/>
  <c r="AX24" i="3"/>
  <c r="AY23" i="3"/>
  <c r="AE24" i="3" l="1"/>
  <c r="AF25" i="3"/>
  <c r="AG25" i="3" s="1"/>
  <c r="AH25" i="3" s="1"/>
  <c r="AK24" i="3"/>
  <c r="AP24" i="3"/>
  <c r="AN24" i="3"/>
  <c r="AY32" i="21"/>
  <c r="AX31" i="21"/>
  <c r="AW32" i="21"/>
  <c r="AD29" i="21"/>
  <c r="AE30" i="21"/>
  <c r="AF30" i="21" s="1"/>
  <c r="AG30" i="21" s="1"/>
  <c r="AO29" i="21"/>
  <c r="AM29" i="21"/>
  <c r="AL29" i="21"/>
  <c r="AK29" i="21"/>
  <c r="AH29" i="21"/>
  <c r="AJ29" i="21"/>
  <c r="AN29" i="21"/>
  <c r="AY24" i="3"/>
  <c r="AZ25" i="3"/>
  <c r="AX25" i="3"/>
  <c r="AK25" i="3" l="1"/>
  <c r="AE25" i="3"/>
  <c r="AF26" i="3"/>
  <c r="AG26" i="3" s="1"/>
  <c r="AH26" i="3" s="1"/>
  <c r="AN25" i="3"/>
  <c r="AP25" i="3"/>
  <c r="AL30" i="21"/>
  <c r="AH30" i="21"/>
  <c r="AD30" i="21"/>
  <c r="AE31" i="21"/>
  <c r="AF31" i="21" s="1"/>
  <c r="AG31" i="21" s="1"/>
  <c r="AJ30" i="21"/>
  <c r="AK30" i="21"/>
  <c r="AM30" i="21"/>
  <c r="AN30" i="21"/>
  <c r="AO30" i="21"/>
  <c r="AY33" i="21"/>
  <c r="AX32" i="21"/>
  <c r="AW33" i="21"/>
  <c r="AY25" i="3"/>
  <c r="AX26" i="3"/>
  <c r="AZ26" i="3"/>
  <c r="AP26" i="3" l="1"/>
  <c r="AK26" i="3"/>
  <c r="AF27" i="3"/>
  <c r="AG27" i="3" s="1"/>
  <c r="AH27" i="3" s="1"/>
  <c r="AE26" i="3"/>
  <c r="AN26" i="3"/>
  <c r="AX33" i="21"/>
  <c r="AY34" i="21"/>
  <c r="AW34" i="21"/>
  <c r="AL31" i="21"/>
  <c r="AH31" i="21"/>
  <c r="AE32" i="21"/>
  <c r="AF32" i="21" s="1"/>
  <c r="AG32" i="21" s="1"/>
  <c r="AD31" i="21"/>
  <c r="AJ31" i="21"/>
  <c r="AM31" i="21"/>
  <c r="AN31" i="21"/>
  <c r="AK31" i="21"/>
  <c r="AO31" i="21"/>
  <c r="AX27" i="3"/>
  <c r="AY26" i="3"/>
  <c r="AZ27" i="3"/>
  <c r="AE27" i="3" l="1"/>
  <c r="AK27" i="3"/>
  <c r="AP27" i="3"/>
  <c r="AF28" i="3"/>
  <c r="AG28" i="3" s="1"/>
  <c r="AH28" i="3" s="1"/>
  <c r="AN27" i="3"/>
  <c r="AH32" i="21"/>
  <c r="AD32" i="21"/>
  <c r="AN32" i="21"/>
  <c r="AM32" i="21"/>
  <c r="AE33" i="21"/>
  <c r="AF33" i="21" s="1"/>
  <c r="AG33" i="21" s="1"/>
  <c r="AL32" i="21"/>
  <c r="AK32" i="21"/>
  <c r="AJ32" i="21"/>
  <c r="AO32" i="21"/>
  <c r="AX34" i="21"/>
  <c r="AY35" i="21"/>
  <c r="AW35" i="21"/>
  <c r="AZ28" i="3"/>
  <c r="AY27" i="3"/>
  <c r="AX28" i="3"/>
  <c r="AE28" i="3" l="1"/>
  <c r="AN28" i="3"/>
  <c r="AP28" i="3"/>
  <c r="AK28" i="3"/>
  <c r="AF29" i="3"/>
  <c r="AG29" i="3" s="1"/>
  <c r="AH29" i="3" s="1"/>
  <c r="AY36" i="21"/>
  <c r="AX35" i="21"/>
  <c r="AW36" i="21"/>
  <c r="AD33" i="21"/>
  <c r="AL33" i="21"/>
  <c r="AH33" i="21"/>
  <c r="AE34" i="21"/>
  <c r="AF34" i="21" s="1"/>
  <c r="AG34" i="21" s="1"/>
  <c r="AO33" i="21"/>
  <c r="AM33" i="21"/>
  <c r="AN33" i="21"/>
  <c r="AJ33" i="21"/>
  <c r="AK33" i="21"/>
  <c r="AX29" i="3"/>
  <c r="AY28" i="3"/>
  <c r="AZ29" i="3"/>
  <c r="AK29" i="3" l="1"/>
  <c r="AF30" i="3"/>
  <c r="AG30" i="3" s="1"/>
  <c r="AH30" i="3" s="1"/>
  <c r="AP29" i="3"/>
  <c r="AN29" i="3"/>
  <c r="AE29" i="3"/>
  <c r="AL34" i="21"/>
  <c r="AE35" i="21"/>
  <c r="AF35" i="21" s="1"/>
  <c r="AG35" i="21" s="1"/>
  <c r="AH34" i="21"/>
  <c r="AK34" i="21"/>
  <c r="AJ34" i="21"/>
  <c r="AD34" i="21"/>
  <c r="AM34" i="21"/>
  <c r="AN34" i="21"/>
  <c r="AO34" i="21"/>
  <c r="AY37" i="21"/>
  <c r="AX36" i="21"/>
  <c r="AW37" i="21"/>
  <c r="AZ30" i="3"/>
  <c r="AX30" i="3"/>
  <c r="AY29" i="3"/>
  <c r="AN30" i="3" l="1"/>
  <c r="AK30" i="3"/>
  <c r="AE30" i="3"/>
  <c r="AP30" i="3"/>
  <c r="AF31" i="3"/>
  <c r="AG31" i="3" s="1"/>
  <c r="AH31" i="3" s="1"/>
  <c r="AX37" i="21"/>
  <c r="AY38" i="21"/>
  <c r="AW38" i="21"/>
  <c r="AL35" i="21"/>
  <c r="AH35" i="21"/>
  <c r="AJ35" i="21"/>
  <c r="AO35" i="21"/>
  <c r="AE36" i="21"/>
  <c r="AF36" i="21" s="1"/>
  <c r="AG36" i="21" s="1"/>
  <c r="AD35" i="21"/>
  <c r="AM35" i="21"/>
  <c r="AN35" i="21"/>
  <c r="AK35" i="21"/>
  <c r="AY30" i="3"/>
  <c r="AZ31" i="3"/>
  <c r="AX31" i="3"/>
  <c r="AK31" i="3" l="1"/>
  <c r="AN31" i="3"/>
  <c r="AF32" i="3"/>
  <c r="AG32" i="3" s="1"/>
  <c r="AH32" i="3" s="1"/>
  <c r="AE31" i="3"/>
  <c r="AP31" i="3"/>
  <c r="AH36" i="21"/>
  <c r="AD36" i="21"/>
  <c r="AE37" i="21"/>
  <c r="AF37" i="21" s="1"/>
  <c r="AG37" i="21" s="1"/>
  <c r="AL36" i="21"/>
  <c r="AJ36" i="21"/>
  <c r="AO36" i="21"/>
  <c r="AK36" i="21"/>
  <c r="AN36" i="21"/>
  <c r="AM36" i="21"/>
  <c r="AY39" i="21"/>
  <c r="AX38" i="21"/>
  <c r="AW39" i="21"/>
  <c r="AZ32" i="3"/>
  <c r="AY31" i="3"/>
  <c r="AX32" i="3"/>
  <c r="AK32" i="3" l="1"/>
  <c r="AF33" i="3"/>
  <c r="AG33" i="3" s="1"/>
  <c r="AH33" i="3" s="1"/>
  <c r="AE32" i="3"/>
  <c r="AP32" i="3"/>
  <c r="AN32" i="3"/>
  <c r="AD37" i="21"/>
  <c r="AM37" i="21"/>
  <c r="AL37" i="21"/>
  <c r="AH37" i="21"/>
  <c r="AE38" i="21"/>
  <c r="AF38" i="21" s="1"/>
  <c r="AG38" i="21" s="1"/>
  <c r="AO37" i="21"/>
  <c r="AN37" i="21"/>
  <c r="AJ37" i="21"/>
  <c r="AK37" i="21"/>
  <c r="AY40" i="21"/>
  <c r="AX39" i="21"/>
  <c r="AW40" i="21"/>
  <c r="AY32" i="3"/>
  <c r="AX33" i="3"/>
  <c r="AZ33" i="3"/>
  <c r="AK33" i="3" l="1"/>
  <c r="AE33" i="3"/>
  <c r="AF34" i="3"/>
  <c r="AG34" i="3" s="1"/>
  <c r="AH34" i="3" s="1"/>
  <c r="AN33" i="3"/>
  <c r="AP33" i="3"/>
  <c r="AY41" i="21"/>
  <c r="AX40" i="21"/>
  <c r="AW41" i="21"/>
  <c r="AL38" i="21"/>
  <c r="AH38" i="21"/>
  <c r="AD38" i="21"/>
  <c r="AK38" i="21"/>
  <c r="AJ38" i="21"/>
  <c r="AE39" i="21"/>
  <c r="AF39" i="21" s="1"/>
  <c r="AG39" i="21" s="1"/>
  <c r="AM38" i="21"/>
  <c r="AO38" i="21"/>
  <c r="AN38" i="21"/>
  <c r="AZ34" i="3"/>
  <c r="AY33" i="3"/>
  <c r="AX34" i="3"/>
  <c r="AK34" i="3" l="1"/>
  <c r="AN34" i="3"/>
  <c r="AF35" i="3"/>
  <c r="AG35" i="3" s="1"/>
  <c r="AH35" i="3" s="1"/>
  <c r="AP34" i="3"/>
  <c r="AE34" i="3"/>
  <c r="AL39" i="21"/>
  <c r="AH39" i="21"/>
  <c r="AD39" i="21"/>
  <c r="AE40" i="21"/>
  <c r="AF40" i="21" s="1"/>
  <c r="AG40" i="21" s="1"/>
  <c r="AO39" i="21"/>
  <c r="AJ39" i="21"/>
  <c r="AN39" i="21"/>
  <c r="AK39" i="21"/>
  <c r="AM39" i="21"/>
  <c r="AX41" i="21"/>
  <c r="AY42" i="21"/>
  <c r="AW42" i="21"/>
  <c r="AY34" i="3"/>
  <c r="AZ35" i="3"/>
  <c r="AX35" i="3"/>
  <c r="AP35" i="3" l="1"/>
  <c r="AF36" i="3"/>
  <c r="AG36" i="3" s="1"/>
  <c r="AH36" i="3" s="1"/>
  <c r="AN35" i="3"/>
  <c r="AE35" i="3"/>
  <c r="AK35" i="3"/>
  <c r="AY43" i="21"/>
  <c r="AX42" i="21"/>
  <c r="AW43" i="21"/>
  <c r="AH40" i="21"/>
  <c r="AD40" i="21"/>
  <c r="AL40" i="21"/>
  <c r="AE41" i="21"/>
  <c r="AF41" i="21" s="1"/>
  <c r="AG41" i="21" s="1"/>
  <c r="AO40" i="21"/>
  <c r="AM40" i="21"/>
  <c r="AN40" i="21"/>
  <c r="AK40" i="21"/>
  <c r="AJ40" i="21"/>
  <c r="AZ36" i="3"/>
  <c r="AX36" i="3"/>
  <c r="AY35" i="3"/>
  <c r="AF37" i="3" l="1"/>
  <c r="AG37" i="3" s="1"/>
  <c r="AH37" i="3" s="1"/>
  <c r="AE36" i="3"/>
  <c r="AP36" i="3"/>
  <c r="AK36" i="3"/>
  <c r="AN36" i="3"/>
  <c r="AD41" i="21"/>
  <c r="AM41" i="21"/>
  <c r="AL41" i="21"/>
  <c r="AE42" i="21"/>
  <c r="AF42" i="21" s="1"/>
  <c r="AG42" i="21" s="1"/>
  <c r="AH41" i="21"/>
  <c r="AK41" i="21"/>
  <c r="AO41" i="21"/>
  <c r="AJ41" i="21"/>
  <c r="AN41" i="21"/>
  <c r="AY44" i="21"/>
  <c r="AX43" i="21"/>
  <c r="AW44" i="21"/>
  <c r="AY36" i="3"/>
  <c r="AZ37" i="3"/>
  <c r="AX37" i="3"/>
  <c r="AE37" i="3" l="1"/>
  <c r="AK37" i="3"/>
  <c r="AF38" i="3"/>
  <c r="AG38" i="3" s="1"/>
  <c r="AH38" i="3" s="1"/>
  <c r="AP37" i="3"/>
  <c r="AN37" i="3"/>
  <c r="AL42" i="21"/>
  <c r="AE43" i="21"/>
  <c r="AF43" i="21" s="1"/>
  <c r="AG43" i="21" s="1"/>
  <c r="AH42" i="21"/>
  <c r="AD42" i="21"/>
  <c r="AO42" i="21"/>
  <c r="AK42" i="21"/>
  <c r="AN42" i="21"/>
  <c r="AM42" i="21"/>
  <c r="AJ42" i="21"/>
  <c r="AY45" i="21"/>
  <c r="AX44" i="21"/>
  <c r="AW45" i="21"/>
  <c r="AY37" i="3"/>
  <c r="AZ38" i="3"/>
  <c r="AX38" i="3"/>
  <c r="AN38" i="3" l="1"/>
  <c r="AP38" i="3"/>
  <c r="AF39" i="3"/>
  <c r="AG39" i="3" s="1"/>
  <c r="AH39" i="3" s="1"/>
  <c r="AE38" i="3"/>
  <c r="AK38" i="3"/>
  <c r="AL43" i="21"/>
  <c r="AH43" i="21"/>
  <c r="AD43" i="21"/>
  <c r="AJ43" i="21"/>
  <c r="AE44" i="21"/>
  <c r="AF44" i="21" s="1"/>
  <c r="AG44" i="21" s="1"/>
  <c r="AO43" i="21"/>
  <c r="AN43" i="21"/>
  <c r="AM43" i="21"/>
  <c r="AK43" i="21"/>
  <c r="AX45" i="21"/>
  <c r="AY46" i="21"/>
  <c r="AW46" i="21"/>
  <c r="AZ39" i="3"/>
  <c r="AY38" i="3"/>
  <c r="AX39" i="3"/>
  <c r="AN39" i="3" l="1"/>
  <c r="AK39" i="3"/>
  <c r="AE39" i="3"/>
  <c r="AF40" i="3"/>
  <c r="AG40" i="3" s="1"/>
  <c r="AH40" i="3" s="1"/>
  <c r="AP39" i="3"/>
  <c r="AH44" i="21"/>
  <c r="AD44" i="21"/>
  <c r="AL44" i="21"/>
  <c r="AE45" i="21"/>
  <c r="AF45" i="21" s="1"/>
  <c r="AG45" i="21" s="1"/>
  <c r="AM44" i="21"/>
  <c r="AJ44" i="21"/>
  <c r="AN44" i="21"/>
  <c r="AO44" i="21"/>
  <c r="AK44" i="21"/>
  <c r="AY47" i="21"/>
  <c r="AX46" i="21"/>
  <c r="AW47" i="21"/>
  <c r="AX40" i="3"/>
  <c r="AZ40" i="3"/>
  <c r="AY39" i="3"/>
  <c r="AE40" i="3" l="1"/>
  <c r="AK40" i="3"/>
  <c r="AN40" i="3"/>
  <c r="AP40" i="3"/>
  <c r="AF41" i="3"/>
  <c r="AG41" i="3" s="1"/>
  <c r="AH41" i="3" s="1"/>
  <c r="AY48" i="21"/>
  <c r="AX47" i="21"/>
  <c r="AW48" i="21"/>
  <c r="AD45" i="21"/>
  <c r="AM45" i="21"/>
  <c r="AL45" i="21"/>
  <c r="AE46" i="21"/>
  <c r="AF46" i="21" s="1"/>
  <c r="AG46" i="21" s="1"/>
  <c r="AH45" i="21"/>
  <c r="AO45" i="21"/>
  <c r="AJ45" i="21"/>
  <c r="AK45" i="21"/>
  <c r="AN45" i="21"/>
  <c r="AY40" i="3"/>
  <c r="AX41" i="3"/>
  <c r="AZ41" i="3"/>
  <c r="AK41" i="3" l="1"/>
  <c r="AF42" i="3"/>
  <c r="AG42" i="3" s="1"/>
  <c r="AH42" i="3" s="1"/>
  <c r="AN41" i="3"/>
  <c r="AE41" i="3"/>
  <c r="AP41" i="3"/>
  <c r="AL46" i="21"/>
  <c r="AE47" i="21"/>
  <c r="AF47" i="21" s="1"/>
  <c r="AG47" i="21" s="1"/>
  <c r="AH46" i="21"/>
  <c r="AD46" i="21"/>
  <c r="AO46" i="21"/>
  <c r="AK46" i="21"/>
  <c r="AN46" i="21"/>
  <c r="AJ46" i="21"/>
  <c r="AM46" i="21"/>
  <c r="AY49" i="21"/>
  <c r="AX48" i="21"/>
  <c r="AW49" i="21"/>
  <c r="AZ42" i="3"/>
  <c r="AY41" i="3"/>
  <c r="AX42" i="3"/>
  <c r="AP42" i="3" l="1"/>
  <c r="AN42" i="3"/>
  <c r="AE42" i="3"/>
  <c r="AF43" i="3"/>
  <c r="AG43" i="3" s="1"/>
  <c r="AH43" i="3" s="1"/>
  <c r="AK42" i="3"/>
  <c r="AX49" i="21"/>
  <c r="AY50" i="21"/>
  <c r="AW50" i="21"/>
  <c r="AL47" i="21"/>
  <c r="AH47" i="21"/>
  <c r="AD47" i="21"/>
  <c r="AJ47" i="21"/>
  <c r="AE48" i="21"/>
  <c r="AF48" i="21" s="1"/>
  <c r="AG48" i="21" s="1"/>
  <c r="AN47" i="21"/>
  <c r="AK47" i="21"/>
  <c r="AO47" i="21"/>
  <c r="AM47" i="21"/>
  <c r="AX43" i="3"/>
  <c r="AZ43" i="3"/>
  <c r="AY42" i="3"/>
  <c r="AN43" i="3" l="1"/>
  <c r="AF44" i="3"/>
  <c r="AG44" i="3" s="1"/>
  <c r="AH44" i="3" s="1"/>
  <c r="AP43" i="3"/>
  <c r="AK43" i="3"/>
  <c r="AE43" i="3"/>
  <c r="AH48" i="21"/>
  <c r="AD48" i="21"/>
  <c r="AL48" i="21"/>
  <c r="AE49" i="21"/>
  <c r="AF49" i="21" s="1"/>
  <c r="AG49" i="21" s="1"/>
  <c r="AK48" i="21"/>
  <c r="AO48" i="21"/>
  <c r="AJ48" i="21"/>
  <c r="AN48" i="21"/>
  <c r="AM48" i="21"/>
  <c r="AY51" i="21"/>
  <c r="AX50" i="21"/>
  <c r="AW51" i="21"/>
  <c r="AY43" i="3"/>
  <c r="AX44" i="3"/>
  <c r="AZ44" i="3"/>
  <c r="AF45" i="3" l="1"/>
  <c r="AG45" i="3" s="1"/>
  <c r="AH45" i="3" s="1"/>
  <c r="AE44" i="3"/>
  <c r="AN44" i="3"/>
  <c r="AP44" i="3"/>
  <c r="AK44" i="3"/>
  <c r="AD49" i="21"/>
  <c r="AM49" i="21"/>
  <c r="AL49" i="21"/>
  <c r="AE50" i="21"/>
  <c r="AF50" i="21" s="1"/>
  <c r="AG50" i="21" s="1"/>
  <c r="AH49" i="21"/>
  <c r="AO49" i="21"/>
  <c r="AJ49" i="21"/>
  <c r="AN49" i="21"/>
  <c r="AK49" i="21"/>
  <c r="AY52" i="21"/>
  <c r="AX51" i="21"/>
  <c r="AW52" i="21"/>
  <c r="AY44" i="3"/>
  <c r="AX45" i="3"/>
  <c r="AZ45" i="3"/>
  <c r="AK45" i="3" l="1"/>
  <c r="AP45" i="3"/>
  <c r="AF46" i="3"/>
  <c r="AG46" i="3" s="1"/>
  <c r="AH46" i="3" s="1"/>
  <c r="AE45" i="3"/>
  <c r="AN45" i="3"/>
  <c r="AL50" i="21"/>
  <c r="AE51" i="21"/>
  <c r="AF51" i="21" s="1"/>
  <c r="AG51" i="21" s="1"/>
  <c r="AH50" i="21"/>
  <c r="AD50" i="21"/>
  <c r="AO50" i="21"/>
  <c r="AK50" i="21"/>
  <c r="AN50" i="21"/>
  <c r="AJ50" i="21"/>
  <c r="AM50" i="21"/>
  <c r="AY53" i="21"/>
  <c r="AX52" i="21"/>
  <c r="AW53" i="21"/>
  <c r="AX53" i="21" s="1"/>
  <c r="AZ46" i="3"/>
  <c r="AY45" i="3"/>
  <c r="AX46" i="3"/>
  <c r="AK46" i="3" l="1"/>
  <c r="AN46" i="3"/>
  <c r="AF47" i="3"/>
  <c r="AG47" i="3" s="1"/>
  <c r="AH47" i="3" s="1"/>
  <c r="AP46" i="3"/>
  <c r="AE46" i="3"/>
  <c r="AL51" i="21"/>
  <c r="AH51" i="21"/>
  <c r="AD51" i="21"/>
  <c r="AE52" i="21"/>
  <c r="AF52" i="21" s="1"/>
  <c r="AG52" i="21" s="1"/>
  <c r="AJ51" i="21"/>
  <c r="AK51" i="21"/>
  <c r="AM51" i="21"/>
  <c r="AO51" i="21"/>
  <c r="AN51" i="21"/>
  <c r="AZ47" i="3"/>
  <c r="AY46" i="3"/>
  <c r="AX47" i="3"/>
  <c r="AF48" i="3" l="1"/>
  <c r="AG48" i="3" s="1"/>
  <c r="AH48" i="3" s="1"/>
  <c r="AE47" i="3"/>
  <c r="AP47" i="3"/>
  <c r="AN47" i="3"/>
  <c r="AK47" i="3"/>
  <c r="AH52" i="21"/>
  <c r="AD52" i="21"/>
  <c r="AL52" i="21"/>
  <c r="AE53" i="21"/>
  <c r="AF53" i="21" s="1"/>
  <c r="AG53" i="21" s="1"/>
  <c r="AO52" i="21"/>
  <c r="AK52" i="21"/>
  <c r="AJ52" i="21"/>
  <c r="AN52" i="21"/>
  <c r="AM52" i="21"/>
  <c r="AX48" i="3"/>
  <c r="AY47" i="3"/>
  <c r="AZ48" i="3"/>
  <c r="AE48" i="3" l="1"/>
  <c r="AF49" i="3"/>
  <c r="AG49" i="3" s="1"/>
  <c r="AH49" i="3" s="1"/>
  <c r="AN48" i="3"/>
  <c r="AP48" i="3"/>
  <c r="AK48" i="3"/>
  <c r="AD53" i="21"/>
  <c r="AM53" i="21"/>
  <c r="AM3" i="21" s="1"/>
  <c r="AL53" i="21"/>
  <c r="AL3" i="21" s="1"/>
  <c r="AH53" i="21"/>
  <c r="AH3" i="21" s="1"/>
  <c r="AN53" i="21"/>
  <c r="AN3" i="21" s="1"/>
  <c r="AJ53" i="21"/>
  <c r="AJ3" i="21" s="1"/>
  <c r="AK53" i="21"/>
  <c r="AK3" i="21" s="1"/>
  <c r="AO53" i="21"/>
  <c r="AO3" i="21" s="1"/>
  <c r="AY48" i="3"/>
  <c r="AX49" i="3"/>
  <c r="AZ49" i="3"/>
  <c r="AP49" i="3" l="1"/>
  <c r="AF50" i="3"/>
  <c r="AG50" i="3" s="1"/>
  <c r="AH50" i="3" s="1"/>
  <c r="AE49" i="3"/>
  <c r="AN49" i="3"/>
  <c r="AK49" i="3"/>
  <c r="AY49" i="3"/>
  <c r="AZ50" i="3"/>
  <c r="AX50" i="3"/>
  <c r="AP50" i="3" l="1"/>
  <c r="AK50" i="3"/>
  <c r="AN50" i="3"/>
  <c r="AF51" i="3"/>
  <c r="AG51" i="3" s="1"/>
  <c r="AH51" i="3" s="1"/>
  <c r="AE50" i="3"/>
  <c r="AZ51" i="3"/>
  <c r="AX51" i="3"/>
  <c r="AY50" i="3"/>
  <c r="AF52" i="3" l="1"/>
  <c r="AG52" i="3" s="1"/>
  <c r="AH52" i="3" s="1"/>
  <c r="AP51" i="3"/>
  <c r="AE51" i="3"/>
  <c r="AN51" i="3"/>
  <c r="AK51" i="3"/>
  <c r="AZ52" i="3"/>
  <c r="AX52" i="3"/>
  <c r="AY51" i="3"/>
  <c r="AN52" i="3" l="1"/>
  <c r="AE52" i="3"/>
  <c r="AK52" i="3"/>
  <c r="AP52" i="3"/>
  <c r="AF53" i="3"/>
  <c r="AY52" i="3"/>
  <c r="AZ53" i="3"/>
  <c r="AX53" i="3"/>
  <c r="D4" i="1"/>
  <c r="AG53" i="3" l="1"/>
  <c r="AH53" i="3" s="1"/>
  <c r="AF54" i="3"/>
  <c r="AY53" i="3"/>
  <c r="AZ54" i="3"/>
  <c r="AX54" i="3"/>
  <c r="M20" i="14"/>
  <c r="AN53" i="3"/>
  <c r="AK53" i="3"/>
  <c r="AE53" i="3"/>
  <c r="M22" i="14"/>
  <c r="T24" i="14" s="1"/>
  <c r="W70" i="14" s="1"/>
  <c r="AP53" i="3"/>
  <c r="M19" i="14"/>
  <c r="AO3" i="3"/>
  <c r="M25" i="14" s="1"/>
  <c r="T29" i="14" s="1"/>
  <c r="W75" i="14" s="1"/>
  <c r="AG54" i="3" l="1"/>
  <c r="AH54" i="3" s="1"/>
  <c r="AP54" i="3"/>
  <c r="AF55" i="3"/>
  <c r="AY54" i="3"/>
  <c r="AZ55" i="3"/>
  <c r="AX55" i="3"/>
  <c r="K4" i="14"/>
  <c r="T20" i="14"/>
  <c r="T19" i="14"/>
  <c r="W65" i="14" s="1"/>
  <c r="J4" i="14"/>
  <c r="AG55" i="3" l="1"/>
  <c r="AH55" i="3" s="1"/>
  <c r="AP55" i="3"/>
  <c r="AF56" i="3"/>
  <c r="AY55" i="3"/>
  <c r="AZ56" i="3"/>
  <c r="AX56" i="3"/>
  <c r="W66" i="14"/>
  <c r="AG56" i="3" l="1"/>
  <c r="AH56" i="3" s="1"/>
  <c r="AF57" i="3"/>
  <c r="AP56" i="3"/>
  <c r="AY56" i="3"/>
  <c r="AZ57" i="3"/>
  <c r="AX57" i="3"/>
  <c r="AY57" i="3" s="1"/>
  <c r="G10" i="14"/>
  <c r="M13" i="14" s="1"/>
  <c r="T13" i="14" s="1"/>
  <c r="G9" i="8"/>
  <c r="G16" i="8" s="1"/>
  <c r="AG57" i="3" l="1"/>
  <c r="AH57" i="3" s="1"/>
  <c r="AP57" i="3"/>
  <c r="M26" i="14" s="1"/>
  <c r="T30" i="14" s="1"/>
  <c r="M23" i="14"/>
  <c r="T25" i="14" s="1"/>
  <c r="W71" i="14" s="1"/>
  <c r="M12" i="14"/>
  <c r="I10" i="14"/>
  <c r="H10" i="14"/>
  <c r="M16" i="14"/>
  <c r="T16" i="14" s="1"/>
  <c r="W63" i="14" s="1"/>
  <c r="W60" i="14"/>
  <c r="M14" i="14"/>
  <c r="T14" i="14" s="1"/>
  <c r="W61" i="14" s="1"/>
  <c r="M15" i="14"/>
  <c r="T15" i="14" s="1"/>
  <c r="M17" i="14"/>
  <c r="W76" i="14" l="1"/>
  <c r="T33" i="14"/>
  <c r="W79" i="14" s="1"/>
  <c r="T32" i="14"/>
  <c r="W78" i="14" s="1"/>
  <c r="G4" i="14"/>
  <c r="G17" i="8" s="1"/>
  <c r="G12" i="14"/>
  <c r="M10" i="14"/>
  <c r="T10" i="14" s="1"/>
  <c r="W57" i="14" s="1"/>
  <c r="M11" i="14"/>
  <c r="T11" i="14" s="1"/>
  <c r="H4" i="14"/>
  <c r="H3" i="14" s="1"/>
  <c r="T17" i="14"/>
  <c r="W62" i="14"/>
  <c r="Y9" i="14" l="1"/>
  <c r="W58" i="14"/>
  <c r="Y11" i="14"/>
  <c r="Y8" i="14"/>
  <c r="AA8" i="14" s="1"/>
  <c r="AG8" i="14" s="1"/>
  <c r="Y10" i="14"/>
  <c r="AA10" i="14" s="1"/>
  <c r="M21" i="14"/>
  <c r="M24" i="14"/>
  <c r="T26" i="14" s="1"/>
  <c r="Z8" i="14"/>
  <c r="AG11" i="14" s="1"/>
  <c r="AA9" i="14"/>
  <c r="Z9" i="14"/>
  <c r="AG9" i="14"/>
  <c r="G3" i="14"/>
  <c r="H1" i="14" s="1"/>
  <c r="AG10" i="14" l="1"/>
  <c r="Z10" i="14"/>
  <c r="W72" i="14"/>
  <c r="T27" i="14"/>
  <c r="D40" i="1"/>
  <c r="C15" i="7"/>
  <c r="C16" i="7"/>
  <c r="C18" i="7" s="1"/>
  <c r="T21" i="14"/>
  <c r="L4" i="14"/>
  <c r="AA11" i="14"/>
  <c r="Z11" i="14"/>
  <c r="AE10" i="14"/>
  <c r="AE11" i="14"/>
  <c r="AE8" i="14"/>
  <c r="AE9" i="14"/>
  <c r="AF10" i="14"/>
  <c r="AF9" i="14"/>
  <c r="AF11" i="14"/>
  <c r="AF8" i="14"/>
  <c r="AD10" i="14" l="1"/>
  <c r="AD9" i="14"/>
  <c r="I40" i="1"/>
  <c r="I41" i="1" s="1"/>
  <c r="I42" i="1" s="1"/>
  <c r="D41" i="1"/>
  <c r="D42" i="1" s="1"/>
  <c r="E41" i="1"/>
  <c r="E42" i="1" s="1"/>
  <c r="C39" i="7"/>
  <c r="B15" i="14"/>
  <c r="B16" i="14" s="1"/>
  <c r="Y20" i="14"/>
  <c r="W73" i="14"/>
  <c r="T28" i="14"/>
  <c r="W74" i="14" s="1"/>
  <c r="AD11" i="14"/>
  <c r="AK11" i="14" s="1"/>
  <c r="AD8" i="14"/>
  <c r="W67" i="14"/>
  <c r="T22" i="14"/>
  <c r="T23" i="14"/>
  <c r="AK9" i="14"/>
  <c r="AK8" i="14"/>
  <c r="AK10" i="14"/>
  <c r="Y22" i="14" l="1"/>
  <c r="Z22" i="14" s="1"/>
  <c r="Y21" i="14"/>
  <c r="C17" i="7"/>
  <c r="C40" i="7"/>
  <c r="B18" i="14"/>
  <c r="B19" i="14" s="1"/>
  <c r="B20" i="14" s="1"/>
  <c r="W69" i="14"/>
  <c r="AA20" i="14"/>
  <c r="B25" i="14"/>
  <c r="Z20" i="14"/>
  <c r="Y23" i="14"/>
  <c r="W68" i="14"/>
  <c r="E4" i="14"/>
  <c r="B27" i="14" l="1"/>
  <c r="AA22" i="14"/>
  <c r="AG23" i="14"/>
  <c r="AG22" i="14"/>
  <c r="Z21" i="14"/>
  <c r="AA21" i="14"/>
  <c r="B26" i="14"/>
  <c r="AE22" i="14"/>
  <c r="AE23" i="14"/>
  <c r="AA23" i="14"/>
  <c r="B28" i="14"/>
  <c r="B21" i="14" s="1"/>
  <c r="B22" i="14" s="1"/>
  <c r="Z23" i="14"/>
  <c r="AG20" i="14"/>
  <c r="AG21" i="14"/>
  <c r="AE20" i="14"/>
  <c r="AE21" i="14"/>
  <c r="AD20" i="14" l="1"/>
  <c r="AD23" i="14"/>
  <c r="AD22" i="14"/>
  <c r="AD21" i="14"/>
  <c r="AF20" i="14"/>
  <c r="AF23" i="14"/>
  <c r="AF21" i="14"/>
  <c r="AK21" i="14" s="1"/>
  <c r="AF22" i="14"/>
  <c r="AK22" i="14" s="1"/>
  <c r="AK23" i="14" l="1"/>
  <c r="AK20" i="14"/>
  <c r="F4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<sst xmlns="http://schemas.openxmlformats.org/spreadsheetml/2006/main" count="847" uniqueCount="546">
  <si>
    <t>一般構造素材物性</t>
    <rPh sb="0" eb="2">
      <t>イッパン</t>
    </rPh>
    <rPh sb="2" eb="4">
      <t>コウゾウ</t>
    </rPh>
    <rPh sb="4" eb="6">
      <t>ソザイ</t>
    </rPh>
    <rPh sb="6" eb="8">
      <t>ブッセイ</t>
    </rPh>
    <phoneticPr fontId="46"/>
  </si>
  <si>
    <t>素材名</t>
    <rPh sb="0" eb="2">
      <t>ソザイ</t>
    </rPh>
    <rPh sb="2" eb="3">
      <t>メイ</t>
    </rPh>
    <phoneticPr fontId="46"/>
  </si>
  <si>
    <t>ヤング率[Mpa]</t>
    <rPh sb="3" eb="4">
      <t>リツ</t>
    </rPh>
    <phoneticPr fontId="46"/>
  </si>
  <si>
    <t>ポアソン比</t>
    <rPh sb="4" eb="5">
      <t>ヒ</t>
    </rPh>
    <phoneticPr fontId="46"/>
  </si>
  <si>
    <t>横弾性係数[Mpa]</t>
    <rPh sb="0" eb="1">
      <t>ヨコ</t>
    </rPh>
    <rPh sb="1" eb="3">
      <t>ダンセイ</t>
    </rPh>
    <rPh sb="3" eb="5">
      <t>ケイスウ</t>
    </rPh>
    <phoneticPr fontId="46"/>
  </si>
  <si>
    <t>曲げ強度[MPa]</t>
    <rPh sb="0" eb="1">
      <t>マ</t>
    </rPh>
    <rPh sb="2" eb="4">
      <t>キョウド</t>
    </rPh>
    <phoneticPr fontId="46"/>
  </si>
  <si>
    <t>補足</t>
    <rPh sb="0" eb="2">
      <t>ホソク</t>
    </rPh>
    <phoneticPr fontId="46"/>
  </si>
  <si>
    <t>情報源</t>
    <rPh sb="0" eb="3">
      <t>ジョウホウゲン</t>
    </rPh>
    <phoneticPr fontId="46"/>
  </si>
  <si>
    <t>スタイロフォームIB</t>
    <phoneticPr fontId="46"/>
  </si>
  <si>
    <t>電熱線で切ると表面硬化する</t>
    <rPh sb="0" eb="2">
      <t>デンネツ</t>
    </rPh>
    <rPh sb="2" eb="3">
      <t>セン</t>
    </rPh>
    <rPh sb="4" eb="5">
      <t>キ</t>
    </rPh>
    <rPh sb="7" eb="9">
      <t>ヒョウメン</t>
    </rPh>
    <rPh sb="9" eb="11">
      <t>コウカ</t>
    </rPh>
    <phoneticPr fontId="46"/>
  </si>
  <si>
    <t>デュポンhttps://www.dupontstyro.co.jp/styrofoam/spec.php#bussei</t>
    <phoneticPr fontId="46"/>
  </si>
  <si>
    <t>1mmスタイロ</t>
    <phoneticPr fontId="46"/>
  </si>
  <si>
    <t>7.75mmでカーボンと等しい面密度，表面硬化なし</t>
    <rPh sb="12" eb="13">
      <t>ヒト</t>
    </rPh>
    <rPh sb="15" eb="16">
      <t>メン</t>
    </rPh>
    <rPh sb="16" eb="18">
      <t>ミツド</t>
    </rPh>
    <rPh sb="19" eb="21">
      <t>ヒョウメン</t>
    </rPh>
    <rPh sb="21" eb="23">
      <t>コウカ</t>
    </rPh>
    <phoneticPr fontId="46"/>
  </si>
  <si>
    <t>バルサ</t>
    <phoneticPr fontId="46"/>
  </si>
  <si>
    <t>ものによって密度が違い，密度に比して強い</t>
    <rPh sb="6" eb="8">
      <t>ミツド</t>
    </rPh>
    <rPh sb="9" eb="10">
      <t>チガ</t>
    </rPh>
    <rPh sb="12" eb="14">
      <t>ミツド</t>
    </rPh>
    <rPh sb="15" eb="16">
      <t>ヒ</t>
    </rPh>
    <rPh sb="18" eb="19">
      <t>ツヨ</t>
    </rPh>
    <phoneticPr fontId="46"/>
  </si>
  <si>
    <t>https://www.mokuzai.com/WorldWood/665</t>
  </si>
  <si>
    <t>1mmバルサ</t>
    <phoneticPr fontId="46"/>
  </si>
  <si>
    <t>低密度ならカーボン1plyと同じ</t>
    <rPh sb="0" eb="3">
      <t>テイミツド</t>
    </rPh>
    <rPh sb="14" eb="15">
      <t>オナ</t>
    </rPh>
    <phoneticPr fontId="46"/>
  </si>
  <si>
    <t>ヒノキ</t>
    <phoneticPr fontId="46"/>
  </si>
  <si>
    <t>ヒノキ棒1mm</t>
    <rPh sb="3" eb="4">
      <t>ボウ</t>
    </rPh>
    <phoneticPr fontId="46"/>
  </si>
  <si>
    <t>ヒノキ棒2mm</t>
    <rPh sb="3" eb="4">
      <t>ボウ</t>
    </rPh>
    <phoneticPr fontId="46"/>
  </si>
  <si>
    <t>ヒノキ2mm棒が軽量</t>
    <rPh sb="6" eb="7">
      <t>ボウ</t>
    </rPh>
    <rPh sb="8" eb="10">
      <t>ケイリョウ</t>
    </rPh>
    <phoneticPr fontId="46"/>
  </si>
  <si>
    <t>ヒノキ棒3mm</t>
    <rPh sb="3" eb="4">
      <t>ボウ</t>
    </rPh>
    <phoneticPr fontId="46"/>
  </si>
  <si>
    <t>phi5カーボン</t>
    <phoneticPr fontId="46"/>
  </si>
  <si>
    <t>phi3</t>
    <phoneticPr fontId="46"/>
  </si>
  <si>
    <t>phi2</t>
    <phoneticPr fontId="46"/>
  </si>
  <si>
    <t>スチレンペーパー1mm（軽）</t>
    <rPh sb="12" eb="13">
      <t>カル</t>
    </rPh>
    <phoneticPr fontId="46"/>
  </si>
  <si>
    <t>空力情報</t>
    <rPh sb="0" eb="2">
      <t>クウリキ</t>
    </rPh>
    <rPh sb="2" eb="4">
      <t>ジョウホウ</t>
    </rPh>
    <phoneticPr fontId="46"/>
  </si>
  <si>
    <t>1G</t>
    <phoneticPr fontId="46"/>
  </si>
  <si>
    <t>想定荷重</t>
    <rPh sb="0" eb="2">
      <t>ソウテイ</t>
    </rPh>
    <rPh sb="2" eb="4">
      <t>カジュウ</t>
    </rPh>
    <phoneticPr fontId="46"/>
  </si>
  <si>
    <t>局所揚力[N]</t>
    <rPh sb="0" eb="2">
      <t>キョクショ</t>
    </rPh>
    <rPh sb="2" eb="4">
      <t>ヨウリョク</t>
    </rPh>
    <phoneticPr fontId="46"/>
  </si>
  <si>
    <t>BMD[N・m]</t>
    <phoneticPr fontId="46"/>
  </si>
  <si>
    <t>トルク[N・m]</t>
    <phoneticPr fontId="46"/>
  </si>
  <si>
    <t>曲率</t>
    <rPh sb="0" eb="2">
      <t>キョクリツ</t>
    </rPh>
    <phoneticPr fontId="46"/>
  </si>
  <si>
    <t>たわみ角</t>
    <rPh sb="3" eb="4">
      <t>カク</t>
    </rPh>
    <phoneticPr fontId="46"/>
  </si>
  <si>
    <t>[rad]</t>
    <phoneticPr fontId="46"/>
  </si>
  <si>
    <t>[deg]</t>
    <phoneticPr fontId="46"/>
  </si>
  <si>
    <t>25%モーメント係数[-]</t>
  </si>
  <si>
    <t>抗力係数[-]</t>
  </si>
  <si>
    <t>誘導抗力分布[N/m]</t>
  </si>
  <si>
    <t>揚力分布[N/m]</t>
  </si>
  <si>
    <t>誘導迎角[deg]</t>
  </si>
  <si>
    <t>吹き下ろし[m/s]</t>
  </si>
  <si>
    <t>循環</t>
  </si>
  <si>
    <t>翼根からの距離[m]</t>
    <rPh sb="0" eb="1">
      <t>ヨク</t>
    </rPh>
    <rPh sb="1" eb="2">
      <t>コン</t>
    </rPh>
    <rPh sb="5" eb="7">
      <t>キョリ</t>
    </rPh>
    <phoneticPr fontId="46"/>
  </si>
  <si>
    <t>位置[m]</t>
  </si>
  <si>
    <t>コード長[m]</t>
  </si>
  <si>
    <t>機速[m/s]</t>
  </si>
  <si>
    <t>コード長[m]</t>
    <rPh sb="3" eb="4">
      <t>チョウ</t>
    </rPh>
    <phoneticPr fontId="46"/>
  </si>
  <si>
    <t>ワイヤ結節点[m]</t>
    <rPh sb="3" eb="6">
      <t>ケッセツテン</t>
    </rPh>
    <phoneticPr fontId="45"/>
  </si>
  <si>
    <t>結節点たわみ[mm]</t>
    <rPh sb="0" eb="3">
      <t>ケッセツテン</t>
    </rPh>
    <phoneticPr fontId="45"/>
  </si>
  <si>
    <t>上反角</t>
    <rPh sb="0" eb="3">
      <t>ジョウハンカク</t>
    </rPh>
    <phoneticPr fontId="45"/>
  </si>
  <si>
    <t>ワイヤ点垂直荷重[N]</t>
    <rPh sb="3" eb="4">
      <t>テン</t>
    </rPh>
    <rPh sb="4" eb="6">
      <t>スイチョク</t>
    </rPh>
    <rPh sb="6" eb="8">
      <t>カジュウ</t>
    </rPh>
    <phoneticPr fontId="45"/>
  </si>
  <si>
    <t>揚力+張力[N]</t>
    <rPh sb="0" eb="2">
      <t>ヨウリョク</t>
    </rPh>
    <rPh sb="3" eb="5">
      <t>チョウリョク</t>
    </rPh>
    <phoneticPr fontId="46"/>
  </si>
  <si>
    <t>[Pa.m^4]</t>
    <phoneticPr fontId="45"/>
  </si>
  <si>
    <t>たわみ</t>
  </si>
  <si>
    <t>たわみ</t>
    <phoneticPr fontId="45"/>
  </si>
  <si>
    <t>y[mm]</t>
  </si>
  <si>
    <t>初期上反角</t>
    <rPh sb="0" eb="2">
      <t>ショキ</t>
    </rPh>
    <rPh sb="2" eb="5">
      <t>ジョウハンカク</t>
    </rPh>
    <phoneticPr fontId="45"/>
  </si>
  <si>
    <t>y[m]</t>
    <phoneticPr fontId="46"/>
  </si>
  <si>
    <t>y[mm]</t>
    <phoneticPr fontId="45"/>
  </si>
  <si>
    <t>ワイヤ点軸荷重[N]</t>
    <rPh sb="3" eb="4">
      <t>テン</t>
    </rPh>
    <rPh sb="4" eb="5">
      <t>ジク</t>
    </rPh>
    <rPh sb="5" eb="7">
      <t>カジュウ</t>
    </rPh>
    <phoneticPr fontId="45"/>
  </si>
  <si>
    <t>ワイヤ取付角[deg]</t>
    <rPh sb="3" eb="6">
      <t>トリツケカク</t>
    </rPh>
    <phoneticPr fontId="45"/>
  </si>
  <si>
    <t>[g]</t>
    <phoneticPr fontId="45"/>
  </si>
  <si>
    <t>スパー重量[g]</t>
    <rPh sb="3" eb="5">
      <t>ジュウリョウ</t>
    </rPh>
    <phoneticPr fontId="45"/>
  </si>
  <si>
    <t>縦たわみ剛性</t>
    <rPh sb="0" eb="1">
      <t>タテ</t>
    </rPh>
    <rPh sb="4" eb="6">
      <t>ゴウセイ</t>
    </rPh>
    <phoneticPr fontId="45"/>
  </si>
  <si>
    <t>荷重倍率(曲技A)</t>
    <rPh sb="0" eb="2">
      <t>カジュウ</t>
    </rPh>
    <rPh sb="2" eb="4">
      <t>バイリツ</t>
    </rPh>
    <rPh sb="5" eb="7">
      <t>キョクギ</t>
    </rPh>
    <phoneticPr fontId="45"/>
  </si>
  <si>
    <t>安全率</t>
    <rPh sb="0" eb="3">
      <t>アンゼンリツ</t>
    </rPh>
    <phoneticPr fontId="45"/>
  </si>
  <si>
    <t>最小安全率</t>
    <rPh sb="0" eb="2">
      <t>サイショウ</t>
    </rPh>
    <rPh sb="2" eb="5">
      <t>アンゼンリツ</t>
    </rPh>
    <phoneticPr fontId="45"/>
  </si>
  <si>
    <t>局所誘導抗力[N]</t>
    <rPh sb="0" eb="2">
      <t>キョクショ</t>
    </rPh>
    <rPh sb="2" eb="6">
      <t>ユウドウコウリョク</t>
    </rPh>
    <phoneticPr fontId="46"/>
  </si>
  <si>
    <t>局所翼型抗力[N]</t>
    <rPh sb="0" eb="2">
      <t>キョクショ</t>
    </rPh>
    <rPh sb="2" eb="4">
      <t>ヨクガタ</t>
    </rPh>
    <rPh sb="4" eb="6">
      <t>コウリョク</t>
    </rPh>
    <phoneticPr fontId="46"/>
  </si>
  <si>
    <t>局所抗力[N]</t>
    <rPh sb="0" eb="2">
      <t>キョクショ</t>
    </rPh>
    <rPh sb="2" eb="4">
      <t>コウリョク</t>
    </rPh>
    <phoneticPr fontId="46"/>
  </si>
  <si>
    <t>抗力[N]</t>
    <rPh sb="0" eb="2">
      <t>コウリョク</t>
    </rPh>
    <phoneticPr fontId="46"/>
  </si>
  <si>
    <t>横BMD[N・m]</t>
    <rPh sb="0" eb="1">
      <t>ヨコ</t>
    </rPh>
    <phoneticPr fontId="46"/>
  </si>
  <si>
    <t>縦BMD[N・m]</t>
    <rPh sb="0" eb="1">
      <t>タテ</t>
    </rPh>
    <phoneticPr fontId="46"/>
  </si>
  <si>
    <t>リブ間隔[mm]</t>
    <rPh sb="2" eb="4">
      <t>カンカク</t>
    </rPh>
    <phoneticPr fontId="45"/>
  </si>
  <si>
    <t>リブ数</t>
    <rPh sb="2" eb="3">
      <t>スウ</t>
    </rPh>
    <phoneticPr fontId="45"/>
  </si>
  <si>
    <t>リブ重量[g]</t>
    <rPh sb="2" eb="4">
      <t>ジュウリョウ</t>
    </rPh>
    <phoneticPr fontId="45"/>
  </si>
  <si>
    <t>半スパン</t>
    <rPh sb="0" eb="1">
      <t>ハン</t>
    </rPh>
    <phoneticPr fontId="45"/>
  </si>
  <si>
    <t>リブ面積[mm^2]</t>
    <rPh sb="2" eb="4">
      <t>メンセキ</t>
    </rPh>
    <phoneticPr fontId="45"/>
  </si>
  <si>
    <t>リブ厚[mm]</t>
    <rPh sb="2" eb="3">
      <t>アツシ</t>
    </rPh>
    <phoneticPr fontId="45"/>
  </si>
  <si>
    <t>リブ体積[m^3]</t>
    <rPh sb="2" eb="4">
      <t>タイセキ</t>
    </rPh>
    <phoneticPr fontId="45"/>
  </si>
  <si>
    <t>全リブ重量[g]</t>
    <rPh sb="0" eb="1">
      <t>ゼン</t>
    </rPh>
    <rPh sb="3" eb="5">
      <t>ジュウリョウ</t>
    </rPh>
    <phoneticPr fontId="45"/>
  </si>
  <si>
    <t>リンケージ位置[mm]</t>
    <rPh sb="5" eb="7">
      <t>イチ</t>
    </rPh>
    <phoneticPr fontId="45"/>
  </si>
  <si>
    <t>前縁重量[g]</t>
    <rPh sb="0" eb="2">
      <t>ゼンエン</t>
    </rPh>
    <rPh sb="2" eb="4">
      <t>ジュウリョウ</t>
    </rPh>
    <phoneticPr fontId="45"/>
  </si>
  <si>
    <t>前縁面積[mm^2]</t>
    <rPh sb="0" eb="2">
      <t>ゼンエン</t>
    </rPh>
    <rPh sb="2" eb="4">
      <t>メンセキ</t>
    </rPh>
    <phoneticPr fontId="45"/>
  </si>
  <si>
    <t>総重量[g]</t>
    <rPh sb="0" eb="3">
      <t>ソウジュウリョウ</t>
    </rPh>
    <phoneticPr fontId="45"/>
  </si>
  <si>
    <t>goe57</t>
    <phoneticPr fontId="45"/>
  </si>
  <si>
    <t>リブ周長[mm]</t>
    <rPh sb="2" eb="4">
      <t>シュウチョウ</t>
    </rPh>
    <phoneticPr fontId="45"/>
  </si>
  <si>
    <t>リブ周長比</t>
    <rPh sb="2" eb="4">
      <t>シュウチョウ</t>
    </rPh>
    <rPh sb="4" eb="5">
      <t>ヒ</t>
    </rPh>
    <phoneticPr fontId="45"/>
  </si>
  <si>
    <t>リブ面積比</t>
    <rPh sb="2" eb="4">
      <t>メンセキ</t>
    </rPh>
    <rPh sb="4" eb="5">
      <t>ヒ</t>
    </rPh>
    <phoneticPr fontId="45"/>
  </si>
  <si>
    <t>後縁重量[g]</t>
    <rPh sb="0" eb="2">
      <t>コウエン</t>
    </rPh>
    <rPh sb="2" eb="4">
      <t>ジュウリョウ</t>
    </rPh>
    <phoneticPr fontId="45"/>
  </si>
  <si>
    <t>最大絶対モーメント</t>
    <rPh sb="0" eb="2">
      <t>サイダイ</t>
    </rPh>
    <rPh sb="2" eb="4">
      <t>ゼッタイ</t>
    </rPh>
    <phoneticPr fontId="45"/>
  </si>
  <si>
    <t>後縁面積[mm^2]</t>
    <rPh sb="0" eb="2">
      <t>コウエン</t>
    </rPh>
    <rPh sb="2" eb="4">
      <t>メンセキ</t>
    </rPh>
    <phoneticPr fontId="45"/>
  </si>
  <si>
    <t>2mmバルサ</t>
    <phoneticPr fontId="46"/>
  </si>
  <si>
    <t>https://www.mokuzai.com/WorldWood/764</t>
  </si>
  <si>
    <t>スギ</t>
    <phoneticPr fontId="46"/>
  </si>
  <si>
    <t>https://www.mokuzai.com/WorldWood/341</t>
  </si>
  <si>
    <t>計算値</t>
    <rPh sb="0" eb="3">
      <t>ケイサンチ</t>
    </rPh>
    <phoneticPr fontId="46"/>
  </si>
  <si>
    <t>実測値</t>
    <rPh sb="0" eb="3">
      <t>ジッソクチ</t>
    </rPh>
    <phoneticPr fontId="46"/>
  </si>
  <si>
    <t>Tartan12mmGlassfibertape</t>
    <phoneticPr fontId="46"/>
  </si>
  <si>
    <t>0.2g/20cm</t>
    <phoneticPr fontId="46"/>
  </si>
  <si>
    <t>Scotch12mmgtape</t>
    <phoneticPr fontId="46"/>
  </si>
  <si>
    <t>圧縮強度[Mpa]</t>
    <rPh sb="0" eb="2">
      <t>アッシュク</t>
    </rPh>
    <rPh sb="2" eb="4">
      <t>キョウド</t>
    </rPh>
    <phoneticPr fontId="46"/>
  </si>
  <si>
    <t>座屈強度[N]</t>
    <rPh sb="0" eb="2">
      <t>ザクツ</t>
    </rPh>
    <rPh sb="2" eb="4">
      <t>キョウド</t>
    </rPh>
    <phoneticPr fontId="46"/>
  </si>
  <si>
    <t>フィルム</t>
    <phoneticPr fontId="45"/>
  </si>
  <si>
    <t>lipo</t>
    <phoneticPr fontId="45"/>
  </si>
  <si>
    <t>重量[g]</t>
    <rPh sb="0" eb="2">
      <t>ジュウリョウ</t>
    </rPh>
    <phoneticPr fontId="46"/>
  </si>
  <si>
    <t>カーボンシート</t>
    <phoneticPr fontId="45"/>
  </si>
  <si>
    <t>フィルム[g]</t>
    <phoneticPr fontId="45"/>
  </si>
  <si>
    <t>残重量[g]</t>
    <rPh sb="0" eb="1">
      <t>ザン</t>
    </rPh>
    <rPh sb="1" eb="3">
      <t>ジュウリョウ</t>
    </rPh>
    <phoneticPr fontId="45"/>
  </si>
  <si>
    <t>もろもろついた胴体</t>
    <rPh sb="7" eb="9">
      <t>ドウタイ</t>
    </rPh>
    <phoneticPr fontId="45"/>
  </si>
  <si>
    <t>ペラとモーター</t>
    <phoneticPr fontId="45"/>
  </si>
  <si>
    <t>受信機</t>
    <rPh sb="0" eb="3">
      <t>ジュシンキ</t>
    </rPh>
    <phoneticPr fontId="45"/>
  </si>
  <si>
    <t>サーボ</t>
    <phoneticPr fontId="45"/>
  </si>
  <si>
    <t>翼重量[g]</t>
    <rPh sb="0" eb="1">
      <t>ヨク</t>
    </rPh>
    <rPh sb="1" eb="3">
      <t>ジュウリョウ</t>
    </rPh>
    <phoneticPr fontId="45"/>
  </si>
  <si>
    <t>電気系[g]</t>
    <rPh sb="0" eb="3">
      <t>デンキケイ</t>
    </rPh>
    <phoneticPr fontId="45"/>
  </si>
  <si>
    <t>胴体[g]</t>
    <rPh sb="0" eb="2">
      <t>ドウタイ</t>
    </rPh>
    <phoneticPr fontId="45"/>
  </si>
  <si>
    <t>胴体設計</t>
    <rPh sb="0" eb="2">
      <t>ドウタイ</t>
    </rPh>
    <rPh sb="2" eb="4">
      <t>セッケイ</t>
    </rPh>
    <phoneticPr fontId="45"/>
  </si>
  <si>
    <t>ノーズからの距離[mm]</t>
    <rPh sb="6" eb="8">
      <t>キョリ</t>
    </rPh>
    <phoneticPr fontId="45"/>
  </si>
  <si>
    <t>x1</t>
    <phoneticPr fontId="45"/>
  </si>
  <si>
    <t>y1</t>
    <phoneticPr fontId="45"/>
  </si>
  <si>
    <t>x2</t>
    <phoneticPr fontId="45"/>
  </si>
  <si>
    <t>y2</t>
    <phoneticPr fontId="45"/>
  </si>
  <si>
    <t>x3</t>
    <phoneticPr fontId="45"/>
  </si>
  <si>
    <t>y4</t>
    <phoneticPr fontId="45"/>
  </si>
  <si>
    <t>y3</t>
    <phoneticPr fontId="45"/>
  </si>
  <si>
    <t>x4</t>
    <phoneticPr fontId="45"/>
  </si>
  <si>
    <t>z</t>
    <phoneticPr fontId="45"/>
  </si>
  <si>
    <t>断面ポリゴン点[mm]</t>
    <rPh sb="0" eb="2">
      <t>ダンメン</t>
    </rPh>
    <rPh sb="6" eb="7">
      <t>テン</t>
    </rPh>
    <phoneticPr fontId="45"/>
  </si>
  <si>
    <t>左上</t>
    <rPh sb="0" eb="2">
      <t>ヒダリウエ</t>
    </rPh>
    <phoneticPr fontId="45"/>
  </si>
  <si>
    <t>右上</t>
    <rPh sb="0" eb="2">
      <t>ミギウエ</t>
    </rPh>
    <phoneticPr fontId="45"/>
  </si>
  <si>
    <t>左下</t>
    <rPh sb="0" eb="2">
      <t>ヒダリシタ</t>
    </rPh>
    <phoneticPr fontId="45"/>
  </si>
  <si>
    <t>右下</t>
    <rPh sb="0" eb="2">
      <t>ミギシタ</t>
    </rPh>
    <phoneticPr fontId="45"/>
  </si>
  <si>
    <t>断面物性</t>
    <rPh sb="0" eb="2">
      <t>ダンメン</t>
    </rPh>
    <rPh sb="2" eb="4">
      <t>ブッセイ</t>
    </rPh>
    <phoneticPr fontId="45"/>
  </si>
  <si>
    <t>周長[mm]</t>
    <rPh sb="0" eb="2">
      <t>シュウチョウ</t>
    </rPh>
    <phoneticPr fontId="45"/>
  </si>
  <si>
    <t>外板重量[g]</t>
    <rPh sb="0" eb="2">
      <t>ガイハン</t>
    </rPh>
    <rPh sb="2" eb="4">
      <t>ジュウリョウ</t>
    </rPh>
    <phoneticPr fontId="45"/>
  </si>
  <si>
    <t>ロンジロン長さ[mm]</t>
    <rPh sb="5" eb="6">
      <t>ナガ</t>
    </rPh>
    <phoneticPr fontId="45"/>
  </si>
  <si>
    <t>ロンジロン重量[g]</t>
    <rPh sb="5" eb="6">
      <t>ナガ</t>
    </rPh>
    <phoneticPr fontId="45"/>
  </si>
  <si>
    <t>胴体重量[g]</t>
    <rPh sb="0" eb="2">
      <t>ドウタイ</t>
    </rPh>
    <rPh sb="2" eb="4">
      <t>ジュウリョウ</t>
    </rPh>
    <phoneticPr fontId="45"/>
  </si>
  <si>
    <t>尾翼計算</t>
    <rPh sb="0" eb="2">
      <t>ビヨク</t>
    </rPh>
    <rPh sb="2" eb="4">
      <t>ケイサン</t>
    </rPh>
    <phoneticPr fontId="45"/>
  </si>
  <si>
    <t>尾翼性能計算</t>
    <rPh sb="0" eb="2">
      <t>ビヨク</t>
    </rPh>
    <rPh sb="2" eb="4">
      <t>セイノウ</t>
    </rPh>
    <rPh sb="4" eb="6">
      <t>ケイサン</t>
    </rPh>
    <phoneticPr fontId="45"/>
  </si>
  <si>
    <t>水平尾翼</t>
    <rPh sb="0" eb="4">
      <t>スイヘイビヨク</t>
    </rPh>
    <phoneticPr fontId="45"/>
  </si>
  <si>
    <t>モーメントアーム[mm]</t>
    <phoneticPr fontId="45"/>
  </si>
  <si>
    <t>目標水平尾翼容積比</t>
    <rPh sb="0" eb="2">
      <t>モクヒョウ</t>
    </rPh>
    <rPh sb="2" eb="6">
      <t>スイヘイビヨク</t>
    </rPh>
    <rPh sb="6" eb="8">
      <t>ヨウセキ</t>
    </rPh>
    <rPh sb="8" eb="9">
      <t>ヒ</t>
    </rPh>
    <phoneticPr fontId="45"/>
  </si>
  <si>
    <t>垂直尾翼</t>
    <rPh sb="0" eb="4">
      <t>スイチョクビヨク</t>
    </rPh>
    <phoneticPr fontId="45"/>
  </si>
  <si>
    <t>尾翼[g]</t>
    <rPh sb="0" eb="2">
      <t>ビヨク</t>
    </rPh>
    <phoneticPr fontId="45"/>
  </si>
  <si>
    <t>スパン[mm]</t>
    <phoneticPr fontId="45"/>
  </si>
  <si>
    <t>テーパ比</t>
    <rPh sb="3" eb="4">
      <t>ヒ</t>
    </rPh>
    <phoneticPr fontId="45"/>
  </si>
  <si>
    <t>ルート[mm]</t>
    <phoneticPr fontId="45"/>
  </si>
  <si>
    <t>チップ[mm]</t>
    <phoneticPr fontId="45"/>
  </si>
  <si>
    <t>ロンジロン重量[g]</t>
    <rPh sb="5" eb="7">
      <t>ジュウリョウ</t>
    </rPh>
    <phoneticPr fontId="45"/>
  </si>
  <si>
    <t>先端周りモーメント[g.mm]</t>
    <rPh sb="0" eb="2">
      <t>センタン</t>
    </rPh>
    <rPh sb="2" eb="3">
      <t>マワ</t>
    </rPh>
    <phoneticPr fontId="45"/>
  </si>
  <si>
    <t>先端モーメント総和[g.mm]</t>
    <rPh sb="0" eb="2">
      <t>センタン</t>
    </rPh>
    <rPh sb="7" eb="9">
      <t>ソウワ</t>
    </rPh>
    <phoneticPr fontId="45"/>
  </si>
  <si>
    <t>アスペクト比</t>
    <rPh sb="5" eb="6">
      <t>ヒ</t>
    </rPh>
    <phoneticPr fontId="45"/>
  </si>
  <si>
    <t>尾翼位置[mm]</t>
    <rPh sb="0" eb="2">
      <t>ビヨク</t>
    </rPh>
    <rPh sb="2" eb="4">
      <t>イチ</t>
    </rPh>
    <phoneticPr fontId="45"/>
  </si>
  <si>
    <t>尾翼重量モーメント[g.mm]</t>
    <rPh sb="0" eb="2">
      <t>ビヨク</t>
    </rPh>
    <rPh sb="2" eb="4">
      <t>ジュウリョウ</t>
    </rPh>
    <phoneticPr fontId="45"/>
  </si>
  <si>
    <t>尾翼重量[g]</t>
    <rPh sb="0" eb="2">
      <t>ビヨク</t>
    </rPh>
    <rPh sb="2" eb="4">
      <t>ジュウリョウ</t>
    </rPh>
    <phoneticPr fontId="45"/>
  </si>
  <si>
    <t>サーボ位置[mm]</t>
    <rPh sb="3" eb="5">
      <t>イチ</t>
    </rPh>
    <phoneticPr fontId="45"/>
  </si>
  <si>
    <t>受信機位置[mm]</t>
    <rPh sb="0" eb="3">
      <t>ジュシンキ</t>
    </rPh>
    <rPh sb="3" eb="5">
      <t>イチ</t>
    </rPh>
    <phoneticPr fontId="45"/>
  </si>
  <si>
    <t>リポモーメント[g.mm]</t>
    <phoneticPr fontId="45"/>
  </si>
  <si>
    <t>サーボモーメント[g.mm]</t>
    <phoneticPr fontId="45"/>
  </si>
  <si>
    <t>受信機モーメント[g.mm]</t>
    <rPh sb="0" eb="3">
      <t>ジュシンキ</t>
    </rPh>
    <phoneticPr fontId="45"/>
  </si>
  <si>
    <t>モータモーメント[g.mm]</t>
    <phoneticPr fontId="45"/>
  </si>
  <si>
    <t>尾翼モーメントアーム[mm]</t>
    <rPh sb="0" eb="2">
      <t>ビヨク</t>
    </rPh>
    <phoneticPr fontId="45"/>
  </si>
  <si>
    <t>ボディ</t>
    <phoneticPr fontId="45"/>
  </si>
  <si>
    <t>電気系重心</t>
    <rPh sb="0" eb="3">
      <t>デンキケイ</t>
    </rPh>
    <rPh sb="3" eb="5">
      <t>ジュウシン</t>
    </rPh>
    <phoneticPr fontId="45"/>
  </si>
  <si>
    <t>主翼重心</t>
    <rPh sb="0" eb="2">
      <t>シュヨク</t>
    </rPh>
    <rPh sb="2" eb="4">
      <t>ジュウシン</t>
    </rPh>
    <phoneticPr fontId="45"/>
  </si>
  <si>
    <t>主翼重心[mm]</t>
    <rPh sb="0" eb="2">
      <t>シュヨク</t>
    </rPh>
    <rPh sb="2" eb="4">
      <t>ジュウシン</t>
    </rPh>
    <phoneticPr fontId="45"/>
  </si>
  <si>
    <t>主翼重量モーメント[g.mm]</t>
    <rPh sb="0" eb="2">
      <t>シュヨク</t>
    </rPh>
    <rPh sb="2" eb="4">
      <t>ジュウリョウ</t>
    </rPh>
    <phoneticPr fontId="45"/>
  </si>
  <si>
    <t>主翼前縁位置[mm]</t>
    <rPh sb="0" eb="2">
      <t>シュヨク</t>
    </rPh>
    <rPh sb="2" eb="4">
      <t>ゼンエン</t>
    </rPh>
    <rPh sb="4" eb="6">
      <t>イチ</t>
    </rPh>
    <phoneticPr fontId="45"/>
  </si>
  <si>
    <t>ボデイ重心[mm]</t>
    <rPh sb="3" eb="5">
      <t>ジュウシン</t>
    </rPh>
    <phoneticPr fontId="45"/>
  </si>
  <si>
    <t>全重心</t>
    <rPh sb="0" eb="3">
      <t>ゼンジュウシン</t>
    </rPh>
    <phoneticPr fontId="45"/>
  </si>
  <si>
    <t>全重心位置[mm]</t>
    <rPh sb="0" eb="5">
      <t>ゼンジュウシンイチ</t>
    </rPh>
    <phoneticPr fontId="45"/>
  </si>
  <si>
    <t>対ボディ主翼重心[mm]</t>
    <rPh sb="4" eb="6">
      <t>シュヨク</t>
    </rPh>
    <rPh sb="6" eb="8">
      <t>ジュウシン</t>
    </rPh>
    <phoneticPr fontId="45"/>
  </si>
  <si>
    <t>対ボディ主翼風圧中心[mm]</t>
    <rPh sb="4" eb="6">
      <t>シュヨク</t>
    </rPh>
    <rPh sb="6" eb="8">
      <t>フウアツ</t>
    </rPh>
    <rPh sb="8" eb="10">
      <t>チュウシン</t>
    </rPh>
    <phoneticPr fontId="45"/>
  </si>
  <si>
    <t>風圧中心-重心距離[mm]</t>
    <rPh sb="0" eb="4">
      <t>フウアツチュウシン</t>
    </rPh>
    <rPh sb="5" eb="7">
      <t>ジュウシン</t>
    </rPh>
    <rPh sb="7" eb="9">
      <t>キョリ</t>
    </rPh>
    <phoneticPr fontId="45"/>
  </si>
  <si>
    <t>足</t>
    <rPh sb="0" eb="1">
      <t>アシ</t>
    </rPh>
    <phoneticPr fontId="45"/>
  </si>
  <si>
    <t>バルク</t>
    <phoneticPr fontId="45"/>
  </si>
  <si>
    <t>面</t>
    <rPh sb="0" eb="1">
      <t>メン</t>
    </rPh>
    <phoneticPr fontId="45"/>
  </si>
  <si>
    <t>一点もの</t>
    <rPh sb="0" eb="2">
      <t>イッテン</t>
    </rPh>
    <phoneticPr fontId="45"/>
  </si>
  <si>
    <t>スパン当重量[g/スパン]</t>
    <rPh sb="3" eb="4">
      <t>トウ</t>
    </rPh>
    <rPh sb="4" eb="6">
      <t>ジュウリョウ</t>
    </rPh>
    <phoneticPr fontId="46"/>
  </si>
  <si>
    <t>翼面積当重量[g/翼面積]</t>
    <rPh sb="0" eb="1">
      <t>ヨク</t>
    </rPh>
    <rPh sb="1" eb="3">
      <t>メンセキ</t>
    </rPh>
    <rPh sb="3" eb="4">
      <t>トウ</t>
    </rPh>
    <rPh sb="4" eb="6">
      <t>ジュウリョウ</t>
    </rPh>
    <rPh sb="9" eb="10">
      <t>ヨク</t>
    </rPh>
    <rPh sb="10" eb="12">
      <t>メンセキ</t>
    </rPh>
    <phoneticPr fontId="46"/>
  </si>
  <si>
    <t>GF#30+エポキシ</t>
    <phoneticPr fontId="46"/>
  </si>
  <si>
    <t>計算値</t>
    <rPh sb="0" eb="3">
      <t>ケイサンチ</t>
    </rPh>
    <phoneticPr fontId="45"/>
  </si>
  <si>
    <t>アラミドウェット</t>
    <phoneticPr fontId="46"/>
  </si>
  <si>
    <t>対バルサ</t>
    <phoneticPr fontId="46"/>
  </si>
  <si>
    <t>実測値</t>
    <rPh sb="0" eb="3">
      <t>ジッソクチ</t>
    </rPh>
    <phoneticPr fontId="45"/>
  </si>
  <si>
    <t>棒・線</t>
    <rPh sb="0" eb="1">
      <t>ボウ</t>
    </rPh>
    <rPh sb="2" eb="3">
      <t>セン</t>
    </rPh>
    <phoneticPr fontId="45"/>
  </si>
  <si>
    <t>薄手ウェット(Z-1)</t>
    <rPh sb="0" eb="2">
      <t>ウスデ</t>
    </rPh>
    <phoneticPr fontId="46"/>
  </si>
  <si>
    <t>フィルムスプレーのり</t>
    <phoneticPr fontId="45"/>
  </si>
  <si>
    <t>スプレーのり[g]</t>
    <phoneticPr fontId="45"/>
  </si>
  <si>
    <t>goe57c195t23Dプリントリブ</t>
    <phoneticPr fontId="45"/>
  </si>
  <si>
    <t>落下装置</t>
    <rPh sb="0" eb="2">
      <t>ラッカ</t>
    </rPh>
    <rPh sb="2" eb="4">
      <t>ソウチ</t>
    </rPh>
    <phoneticPr fontId="45"/>
  </si>
  <si>
    <t>3Kカーボンパイプ6mm</t>
    <phoneticPr fontId="45"/>
  </si>
  <si>
    <t>線密度[g/m]</t>
    <rPh sb="0" eb="1">
      <t>セン</t>
    </rPh>
    <rPh sb="1" eb="3">
      <t>ミツド</t>
    </rPh>
    <phoneticPr fontId="46"/>
  </si>
  <si>
    <t>3Kカーボンパイプ5mm</t>
    <phoneticPr fontId="45"/>
  </si>
  <si>
    <t>面密度[g/m^2]</t>
    <rPh sb="0" eb="1">
      <t>メン</t>
    </rPh>
    <rPh sb="1" eb="3">
      <t>ミツド</t>
    </rPh>
    <phoneticPr fontId="46"/>
  </si>
  <si>
    <t>密度[g/m^3]</t>
    <rPh sb="0" eb="2">
      <t>ミツド</t>
    </rPh>
    <phoneticPr fontId="46"/>
  </si>
  <si>
    <t>XCp[-]</t>
    <phoneticPr fontId="45"/>
  </si>
  <si>
    <t>揚力係数[-]</t>
    <rPh sb="0" eb="2">
      <t>ヨウリョク</t>
    </rPh>
    <rPh sb="2" eb="4">
      <t>ケイスウ</t>
    </rPh>
    <phoneticPr fontId="45"/>
  </si>
  <si>
    <t>主翼XCp[-]</t>
    <rPh sb="0" eb="2">
      <t>シュヨク</t>
    </rPh>
    <phoneticPr fontId="45"/>
  </si>
  <si>
    <t>揚力係数×コード×XCp</t>
    <rPh sb="0" eb="2">
      <t>ヨウリョク</t>
    </rPh>
    <rPh sb="2" eb="4">
      <t>ケイスウ</t>
    </rPh>
    <phoneticPr fontId="45"/>
  </si>
  <si>
    <t>揚力係数×コード</t>
    <rPh sb="0" eb="2">
      <t>ヨウリョク</t>
    </rPh>
    <rPh sb="2" eb="4">
      <t>ケイスウ</t>
    </rPh>
    <phoneticPr fontId="45"/>
  </si>
  <si>
    <t>主翼XCp[mm]</t>
    <rPh sb="0" eb="2">
      <t>シュヨク</t>
    </rPh>
    <phoneticPr fontId="45"/>
  </si>
  <si>
    <t>スチレンペーパーソリッド1mm</t>
    <phoneticPr fontId="45"/>
  </si>
  <si>
    <t>両面テープ10mmW</t>
    <rPh sb="0" eb="2">
      <t>リョウメン</t>
    </rPh>
    <phoneticPr fontId="45"/>
  </si>
  <si>
    <t>両面テープ2mmW</t>
    <rPh sb="0" eb="2">
      <t>リョウメン</t>
    </rPh>
    <phoneticPr fontId="45"/>
  </si>
  <si>
    <t>パイプ重量[g]</t>
    <rPh sb="3" eb="5">
      <t>ジュウリョウ</t>
    </rPh>
    <phoneticPr fontId="45"/>
  </si>
  <si>
    <t>全体長さ[mm]</t>
    <rPh sb="0" eb="2">
      <t>ゼンタイ</t>
    </rPh>
    <rPh sb="2" eb="3">
      <t>ナガ</t>
    </rPh>
    <phoneticPr fontId="45"/>
  </si>
  <si>
    <t>EPP4mm</t>
    <phoneticPr fontId="45"/>
  </si>
  <si>
    <t>尾翼ジョイント[g]</t>
    <rPh sb="0" eb="2">
      <t>ビヨク</t>
    </rPh>
    <phoneticPr fontId="45"/>
  </si>
  <si>
    <t>リングフレームセット</t>
    <phoneticPr fontId="45"/>
  </si>
  <si>
    <t>足＋投下装置＋リングフレーム</t>
    <rPh sb="0" eb="1">
      <t>アシ</t>
    </rPh>
    <rPh sb="2" eb="4">
      <t>トウカ</t>
    </rPh>
    <rPh sb="4" eb="6">
      <t>ソウチ</t>
    </rPh>
    <phoneticPr fontId="45"/>
  </si>
  <si>
    <t>スチレンペーパー1mm</t>
    <phoneticPr fontId="45"/>
  </si>
  <si>
    <t>スチレンペーパー2mm</t>
    <phoneticPr fontId="45"/>
  </si>
  <si>
    <t>EPP</t>
    <phoneticPr fontId="45"/>
  </si>
  <si>
    <t>足[g]</t>
    <rPh sb="0" eb="1">
      <t>アシ</t>
    </rPh>
    <phoneticPr fontId="45"/>
  </si>
  <si>
    <t>X</t>
    <phoneticPr fontId="45"/>
  </si>
  <si>
    <t>Y</t>
    <phoneticPr fontId="45"/>
  </si>
  <si>
    <t>行数</t>
    <rPh sb="0" eb="2">
      <t>ギョウスウ</t>
    </rPh>
    <phoneticPr fontId="45"/>
  </si>
  <si>
    <t>主翼リブ配置[mm]</t>
    <rPh sb="0" eb="2">
      <t>シュヨク</t>
    </rPh>
    <rPh sb="4" eb="6">
      <t>ハイチ</t>
    </rPh>
    <phoneticPr fontId="45"/>
  </si>
  <si>
    <t>主翼リブ数</t>
    <rPh sb="0" eb="2">
      <t>シュヨク</t>
    </rPh>
    <rPh sb="4" eb="5">
      <t>カズ</t>
    </rPh>
    <phoneticPr fontId="45"/>
  </si>
  <si>
    <t>使用上の注意事項</t>
    <rPh sb="0" eb="3">
      <t>シヨウジョウ</t>
    </rPh>
    <rPh sb="4" eb="8">
      <t>チュウイジコウ</t>
    </rPh>
    <phoneticPr fontId="45"/>
  </si>
  <si>
    <t>一般</t>
    <rPh sb="0" eb="2">
      <t>イッパン</t>
    </rPh>
    <phoneticPr fontId="45"/>
  </si>
  <si>
    <r>
      <t>・黄色のセルは「NAVIXリブ製図プログラム」で使うので</t>
    </r>
    <r>
      <rPr>
        <sz val="28"/>
        <color rgb="FFFF0000"/>
        <rFont val="Yu Gothic"/>
        <family val="3"/>
        <charset val="128"/>
        <scheme val="minor"/>
      </rPr>
      <t>位置を変更してはならない</t>
    </r>
    <r>
      <rPr>
        <sz val="28"/>
        <color theme="1"/>
        <rFont val="Yu Gothic"/>
        <family val="3"/>
        <charset val="128"/>
        <scheme val="minor"/>
      </rPr>
      <t>！</t>
    </r>
    <rPh sb="1" eb="3">
      <t>キイロ</t>
    </rPh>
    <rPh sb="15" eb="17">
      <t>セイズ</t>
    </rPh>
    <rPh sb="24" eb="25">
      <t>ツカ</t>
    </rPh>
    <rPh sb="28" eb="30">
      <t>イチ</t>
    </rPh>
    <rPh sb="31" eb="33">
      <t>ヘンコウ</t>
    </rPh>
    <phoneticPr fontId="45"/>
  </si>
  <si>
    <t>諸元シート</t>
    <rPh sb="0" eb="2">
      <t>ショゲン</t>
    </rPh>
    <phoneticPr fontId="45"/>
  </si>
  <si>
    <t>※リブ点群データとリブ配置はデータの大きさに合わせて行を増やしても良い</t>
    <rPh sb="3" eb="5">
      <t>テングン</t>
    </rPh>
    <rPh sb="11" eb="13">
      <t>ハイチ</t>
    </rPh>
    <rPh sb="18" eb="19">
      <t>オオ</t>
    </rPh>
    <rPh sb="22" eb="23">
      <t>ア</t>
    </rPh>
    <rPh sb="26" eb="27">
      <t>ギョウ</t>
    </rPh>
    <rPh sb="28" eb="29">
      <t>フ</t>
    </rPh>
    <rPh sb="33" eb="34">
      <t>ヨ</t>
    </rPh>
    <phoneticPr fontId="45"/>
  </si>
  <si>
    <t>荷重解析シート</t>
    <rPh sb="0" eb="2">
      <t>カジュウ</t>
    </rPh>
    <rPh sb="2" eb="4">
      <t>カイセキ</t>
    </rPh>
    <phoneticPr fontId="45"/>
  </si>
  <si>
    <t>・「NAVIXリブ製図プログラム」使用時は</t>
    <rPh sb="9" eb="11">
      <t>セイズ</t>
    </rPh>
    <rPh sb="17" eb="19">
      <t>シヨウ</t>
    </rPh>
    <rPh sb="19" eb="20">
      <t>ジ</t>
    </rPh>
    <phoneticPr fontId="45"/>
  </si>
  <si>
    <r>
      <t>適切な形式のexcelブックをこれに</t>
    </r>
    <r>
      <rPr>
        <sz val="28"/>
        <color rgb="FFFF0000"/>
        <rFont val="Yu Gothic"/>
        <family val="3"/>
        <charset val="128"/>
        <scheme val="minor"/>
      </rPr>
      <t>ドラッグアンドドロップ</t>
    </r>
    <r>
      <rPr>
        <sz val="28"/>
        <color theme="1"/>
        <rFont val="Yu Gothic"/>
        <family val="3"/>
        <charset val="128"/>
        <scheme val="minor"/>
      </rPr>
      <t>するか、.pyを編集して</t>
    </r>
    <r>
      <rPr>
        <sz val="28"/>
        <color rgb="FFFF0000"/>
        <rFont val="Yu Gothic"/>
        <family val="3"/>
        <charset val="128"/>
        <scheme val="minor"/>
      </rPr>
      <t>パスを直接入力</t>
    </r>
    <r>
      <rPr>
        <sz val="28"/>
        <color theme="1"/>
        <rFont val="Yu Gothic"/>
        <family val="3"/>
        <charset val="128"/>
        <scheme val="minor"/>
      </rPr>
      <t>する</t>
    </r>
    <phoneticPr fontId="45"/>
  </si>
  <si>
    <r>
      <t>・</t>
    </r>
    <r>
      <rPr>
        <sz val="28"/>
        <color rgb="FFFF0000"/>
        <rFont val="Yu Gothic"/>
        <family val="3"/>
        <charset val="128"/>
        <scheme val="minor"/>
      </rPr>
      <t>シート名を変更してはならない</t>
    </r>
    <r>
      <rPr>
        <sz val="28"/>
        <color theme="1"/>
        <rFont val="Yu Gothic"/>
        <family val="3"/>
        <charset val="128"/>
        <scheme val="minor"/>
      </rPr>
      <t>！</t>
    </r>
    <rPh sb="4" eb="5">
      <t>メイ</t>
    </rPh>
    <rPh sb="6" eb="8">
      <t>ヘンコウ</t>
    </rPh>
    <phoneticPr fontId="45"/>
  </si>
  <si>
    <t>迎角[deg]</t>
    <rPh sb="0" eb="2">
      <t>ゲイカク</t>
    </rPh>
    <phoneticPr fontId="45"/>
  </si>
  <si>
    <t>主翼スパン[m]</t>
    <rPh sb="0" eb="2">
      <t>シュヨク</t>
    </rPh>
    <phoneticPr fontId="45"/>
  </si>
  <si>
    <t>ルートコード長[m]</t>
    <rPh sb="6" eb="7">
      <t>チョウ</t>
    </rPh>
    <phoneticPr fontId="45"/>
  </si>
  <si>
    <t>中間コード長[m]</t>
    <rPh sb="0" eb="2">
      <t>チュウカン</t>
    </rPh>
    <rPh sb="5" eb="6">
      <t>チョウ</t>
    </rPh>
    <phoneticPr fontId="45"/>
  </si>
  <si>
    <t>チップコード長[m]</t>
    <rPh sb="6" eb="7">
      <t>チョウ</t>
    </rPh>
    <phoneticPr fontId="45"/>
  </si>
  <si>
    <t>テーパ変更点[m]</t>
    <rPh sb="3" eb="6">
      <t>ヘンコウテン</t>
    </rPh>
    <phoneticPr fontId="45"/>
  </si>
  <si>
    <t>風圧中心[-]</t>
    <rPh sb="0" eb="2">
      <t>フウアツ</t>
    </rPh>
    <rPh sb="2" eb="4">
      <t>チュウシン</t>
    </rPh>
    <phoneticPr fontId="45"/>
  </si>
  <si>
    <t>Pythonで読み込まれるデータをここに置く</t>
    <rPh sb="7" eb="8">
      <t>ヨ</t>
    </rPh>
    <rPh sb="9" eb="10">
      <t>コ</t>
    </rPh>
    <rPh sb="20" eb="21">
      <t>オ</t>
    </rPh>
    <phoneticPr fontId="45"/>
  </si>
  <si>
    <t>Xu</t>
    <phoneticPr fontId="45"/>
  </si>
  <si>
    <t>Yu</t>
    <phoneticPr fontId="45"/>
  </si>
  <si>
    <t>Xl</t>
    <phoneticPr fontId="45"/>
  </si>
  <si>
    <t>Yl</t>
    <phoneticPr fontId="45"/>
  </si>
  <si>
    <t>b</t>
    <phoneticPr fontId="45"/>
  </si>
  <si>
    <t>e</t>
    <phoneticPr fontId="45"/>
  </si>
  <si>
    <t>空力安定性</t>
    <rPh sb="0" eb="2">
      <t>クウリキ</t>
    </rPh>
    <rPh sb="2" eb="5">
      <t>アンテイセイ</t>
    </rPh>
    <phoneticPr fontId="45"/>
  </si>
  <si>
    <t>空力パラメータ</t>
    <rPh sb="0" eb="2">
      <t>クウリキ</t>
    </rPh>
    <phoneticPr fontId="45"/>
  </si>
  <si>
    <t>機体速度</t>
    <rPh sb="0" eb="2">
      <t>キタイ</t>
    </rPh>
    <rPh sb="2" eb="4">
      <t>ソクド</t>
    </rPh>
    <phoneticPr fontId="45"/>
  </si>
  <si>
    <t>主翼揚力傾斜</t>
    <rPh sb="0" eb="2">
      <t>シュヨク</t>
    </rPh>
    <rPh sb="2" eb="4">
      <t>ヨウリョク</t>
    </rPh>
    <rPh sb="4" eb="6">
      <t>ケイシャ</t>
    </rPh>
    <phoneticPr fontId="45"/>
  </si>
  <si>
    <t>水平尾翼容積比</t>
    <rPh sb="0" eb="2">
      <t>スイヘイ</t>
    </rPh>
    <rPh sb="2" eb="4">
      <t>ビヨク</t>
    </rPh>
    <rPh sb="4" eb="7">
      <t>ヨウセキヒ</t>
    </rPh>
    <phoneticPr fontId="45"/>
  </si>
  <si>
    <t>垂直尾翼容積比</t>
    <rPh sb="0" eb="2">
      <t>スイチョク</t>
    </rPh>
    <rPh sb="2" eb="4">
      <t>ビヨク</t>
    </rPh>
    <rPh sb="4" eb="7">
      <t>ヨウセキヒ</t>
    </rPh>
    <phoneticPr fontId="45"/>
  </si>
  <si>
    <t>U0</t>
    <phoneticPr fontId="45"/>
  </si>
  <si>
    <t>aw</t>
    <phoneticPr fontId="45"/>
  </si>
  <si>
    <t>Vh*</t>
    <phoneticPr fontId="45"/>
  </si>
  <si>
    <t>Vv*</t>
    <phoneticPr fontId="45"/>
  </si>
  <si>
    <t>吹き下ろし傾斜</t>
    <rPh sb="0" eb="1">
      <t>フ</t>
    </rPh>
    <rPh sb="2" eb="3">
      <t>オ</t>
    </rPh>
    <rPh sb="5" eb="7">
      <t>ケイシャ</t>
    </rPh>
    <phoneticPr fontId="45"/>
  </si>
  <si>
    <t>m/s</t>
    <phoneticPr fontId="45"/>
  </si>
  <si>
    <t>/rad</t>
    <phoneticPr fontId="45"/>
  </si>
  <si>
    <t>dε/dα</t>
    <phoneticPr fontId="45"/>
  </si>
  <si>
    <t>水平タブ比</t>
    <rPh sb="0" eb="2">
      <t>スイヘイ</t>
    </rPh>
    <rPh sb="4" eb="5">
      <t>ヒ</t>
    </rPh>
    <phoneticPr fontId="45"/>
  </si>
  <si>
    <t>水平尾翼面積比</t>
    <rPh sb="0" eb="2">
      <t>スイヘイ</t>
    </rPh>
    <rPh sb="2" eb="4">
      <t>ビヨク</t>
    </rPh>
    <rPh sb="4" eb="7">
      <t>メンセキヒ</t>
    </rPh>
    <phoneticPr fontId="45"/>
  </si>
  <si>
    <t>水平尾翼モーメントアーム</t>
    <rPh sb="0" eb="2">
      <t>スイヘイ</t>
    </rPh>
    <rPh sb="2" eb="4">
      <t>ビヨク</t>
    </rPh>
    <phoneticPr fontId="45"/>
  </si>
  <si>
    <t>無次元重心位置</t>
    <rPh sb="0" eb="3">
      <t>ムジゲン</t>
    </rPh>
    <rPh sb="3" eb="5">
      <t>ジュウシン</t>
    </rPh>
    <rPh sb="5" eb="7">
      <t>イチ</t>
    </rPh>
    <phoneticPr fontId="45"/>
  </si>
  <si>
    <t>平均翼弦</t>
    <rPh sb="0" eb="2">
      <t>ヘイキン</t>
    </rPh>
    <rPh sb="2" eb="4">
      <t>ヨクゲン</t>
    </rPh>
    <phoneticPr fontId="45"/>
  </si>
  <si>
    <t>アスペクト比</t>
    <rPh sb="5" eb="6">
      <t>ヒ</t>
    </rPh>
    <phoneticPr fontId="45"/>
  </si>
  <si>
    <t>抗力係数</t>
    <rPh sb="0" eb="2">
      <t>コウリョク</t>
    </rPh>
    <rPh sb="2" eb="4">
      <t>ケイスウ</t>
    </rPh>
    <phoneticPr fontId="45"/>
  </si>
  <si>
    <t>揚力係数</t>
    <rPh sb="0" eb="2">
      <t>ヨウリョク</t>
    </rPh>
    <rPh sb="2" eb="4">
      <t>ケイスウ</t>
    </rPh>
    <phoneticPr fontId="45"/>
  </si>
  <si>
    <t>空力中心位置</t>
    <rPh sb="0" eb="2">
      <t>クウリキ</t>
    </rPh>
    <rPh sb="2" eb="4">
      <t>チュウシン</t>
    </rPh>
    <rPh sb="4" eb="6">
      <t>イチ</t>
    </rPh>
    <phoneticPr fontId="45"/>
  </si>
  <si>
    <t>hnw</t>
    <phoneticPr fontId="45"/>
  </si>
  <si>
    <t>CL</t>
    <phoneticPr fontId="45"/>
  </si>
  <si>
    <t>CD</t>
    <phoneticPr fontId="45"/>
  </si>
  <si>
    <t>AR</t>
    <phoneticPr fontId="45"/>
  </si>
  <si>
    <t>cbar</t>
    <phoneticPr fontId="45"/>
  </si>
  <si>
    <t>h</t>
    <phoneticPr fontId="45"/>
  </si>
  <si>
    <t>lh</t>
    <phoneticPr fontId="45"/>
  </si>
  <si>
    <t>St/S</t>
    <phoneticPr fontId="45"/>
  </si>
  <si>
    <t>Se/St</t>
    <phoneticPr fontId="45"/>
  </si>
  <si>
    <t>文字</t>
    <rPh sb="0" eb="2">
      <t>モジ</t>
    </rPh>
    <phoneticPr fontId="45"/>
  </si>
  <si>
    <t>単位</t>
    <rPh sb="0" eb="2">
      <t>タンイ</t>
    </rPh>
    <phoneticPr fontId="45"/>
  </si>
  <si>
    <t>理論値</t>
    <rPh sb="0" eb="3">
      <t>リロンチ</t>
    </rPh>
    <phoneticPr fontId="45"/>
  </si>
  <si>
    <t>最小値</t>
    <rPh sb="0" eb="3">
      <t>サイショウチ</t>
    </rPh>
    <phoneticPr fontId="45"/>
  </si>
  <si>
    <t>最大値</t>
    <rPh sb="0" eb="3">
      <t>サイダイチ</t>
    </rPh>
    <phoneticPr fontId="45"/>
  </si>
  <si>
    <t>m</t>
    <phoneticPr fontId="45"/>
  </si>
  <si>
    <t>無次元空力微係数</t>
    <rPh sb="0" eb="3">
      <t>ムジゲン</t>
    </rPh>
    <rPh sb="3" eb="5">
      <t>クウリキ</t>
    </rPh>
    <rPh sb="5" eb="6">
      <t>ビ</t>
    </rPh>
    <rPh sb="6" eb="8">
      <t>ケイスウ</t>
    </rPh>
    <phoneticPr fontId="45"/>
  </si>
  <si>
    <t>Cxu</t>
    <phoneticPr fontId="45"/>
  </si>
  <si>
    <t>Czu</t>
    <phoneticPr fontId="45"/>
  </si>
  <si>
    <t>Cmu</t>
    <phoneticPr fontId="45"/>
  </si>
  <si>
    <t>Cxa</t>
    <phoneticPr fontId="45"/>
  </si>
  <si>
    <t>Cza</t>
    <phoneticPr fontId="45"/>
  </si>
  <si>
    <t>CLa</t>
    <phoneticPr fontId="45"/>
  </si>
  <si>
    <t>Cma</t>
    <phoneticPr fontId="45"/>
  </si>
  <si>
    <t>Cmq</t>
    <phoneticPr fontId="45"/>
  </si>
  <si>
    <t>Cxq</t>
    <phoneticPr fontId="45"/>
  </si>
  <si>
    <t>主翼面積</t>
    <rPh sb="0" eb="2">
      <t>シュヨク</t>
    </rPh>
    <rPh sb="2" eb="4">
      <t>メンセキ</t>
    </rPh>
    <phoneticPr fontId="45"/>
  </si>
  <si>
    <t>S</t>
    <phoneticPr fontId="45"/>
  </si>
  <si>
    <t>m^2</t>
    <phoneticPr fontId="45"/>
  </si>
  <si>
    <t>機体重量</t>
    <rPh sb="0" eb="2">
      <t>キタイ</t>
    </rPh>
    <rPh sb="2" eb="4">
      <t>ジュウリョウ</t>
    </rPh>
    <phoneticPr fontId="45"/>
  </si>
  <si>
    <t>kg</t>
    <phoneticPr fontId="45"/>
  </si>
  <si>
    <t>Xu</t>
    <phoneticPr fontId="45"/>
  </si>
  <si>
    <t>空気</t>
    <rPh sb="0" eb="2">
      <t>クウキ</t>
    </rPh>
    <phoneticPr fontId="45"/>
  </si>
  <si>
    <t>ロール慣性モーメント</t>
    <rPh sb="3" eb="5">
      <t>カンセイ</t>
    </rPh>
    <phoneticPr fontId="45"/>
  </si>
  <si>
    <t>ヨー慣性モーメント</t>
    <rPh sb="2" eb="4">
      <t>カンセイ</t>
    </rPh>
    <phoneticPr fontId="45"/>
  </si>
  <si>
    <t>ピッチ慣性モーメント</t>
    <rPh sb="3" eb="5">
      <t>カンセイ</t>
    </rPh>
    <phoneticPr fontId="45"/>
  </si>
  <si>
    <t>kg.m^2</t>
    <phoneticPr fontId="45"/>
  </si>
  <si>
    <t>Zu</t>
    <phoneticPr fontId="45"/>
  </si>
  <si>
    <t>Mu</t>
    <phoneticPr fontId="45"/>
  </si>
  <si>
    <t>Za</t>
    <phoneticPr fontId="45"/>
  </si>
  <si>
    <t>Xa</t>
    <phoneticPr fontId="45"/>
  </si>
  <si>
    <t>Ma</t>
    <phoneticPr fontId="45"/>
  </si>
  <si>
    <t>Mq</t>
    <phoneticPr fontId="45"/>
  </si>
  <si>
    <t>s4</t>
    <phoneticPr fontId="45"/>
  </si>
  <si>
    <t>s3</t>
    <phoneticPr fontId="45"/>
  </si>
  <si>
    <t>s2</t>
    <phoneticPr fontId="45"/>
  </si>
  <si>
    <t>s1</t>
    <phoneticPr fontId="45"/>
  </si>
  <si>
    <t>s0</t>
    <phoneticPr fontId="45"/>
  </si>
  <si>
    <t>係数理論値</t>
    <rPh sb="0" eb="2">
      <t>ケイスウ</t>
    </rPh>
    <rPh sb="2" eb="5">
      <t>リロンチ</t>
    </rPh>
    <phoneticPr fontId="45"/>
  </si>
  <si>
    <t>次数</t>
    <rPh sb="0" eb="2">
      <t>ジスウ</t>
    </rPh>
    <phoneticPr fontId="45"/>
  </si>
  <si>
    <t>k11</t>
    <phoneticPr fontId="45"/>
  </si>
  <si>
    <t>k12</t>
    <phoneticPr fontId="45"/>
  </si>
  <si>
    <t>k21</t>
    <phoneticPr fontId="45"/>
  </si>
  <si>
    <t>k22</t>
    <phoneticPr fontId="45"/>
  </si>
  <si>
    <t>フルビッツ安定</t>
    <rPh sb="5" eb="7">
      <t>アンテイ</t>
    </rPh>
    <phoneticPr fontId="45"/>
  </si>
  <si>
    <t>k11</t>
    <phoneticPr fontId="45"/>
  </si>
  <si>
    <t>カリトノフ式</t>
    <rPh sb="5" eb="6">
      <t>シキ</t>
    </rPh>
    <phoneticPr fontId="45"/>
  </si>
  <si>
    <t>有次元空力微係数</t>
    <rPh sb="0" eb="1">
      <t>ユウ</t>
    </rPh>
    <rPh sb="1" eb="3">
      <t>ジゲン</t>
    </rPh>
    <rPh sb="3" eb="5">
      <t>クウリキ</t>
    </rPh>
    <rPh sb="5" eb="6">
      <t>ビ</t>
    </rPh>
    <rPh sb="6" eb="8">
      <t>ケイスウ</t>
    </rPh>
    <phoneticPr fontId="45"/>
  </si>
  <si>
    <t>横系分母多項式</t>
    <rPh sb="0" eb="2">
      <t>ヨコケイ</t>
    </rPh>
    <rPh sb="2" eb="4">
      <t>ブンボ</t>
    </rPh>
    <rPh sb="4" eb="7">
      <t>タコウシキ</t>
    </rPh>
    <phoneticPr fontId="45"/>
  </si>
  <si>
    <t>形状情報</t>
    <rPh sb="0" eb="2">
      <t>ケイジョウ</t>
    </rPh>
    <rPh sb="2" eb="4">
      <t>ジョウホウ</t>
    </rPh>
    <phoneticPr fontId="46"/>
  </si>
  <si>
    <t>コード長^2</t>
    <rPh sb="3" eb="4">
      <t>チョウ</t>
    </rPh>
    <phoneticPr fontId="45"/>
  </si>
  <si>
    <t>[m^2]</t>
    <phoneticPr fontId="45"/>
  </si>
  <si>
    <t>Cyb</t>
    <phoneticPr fontId="45"/>
  </si>
  <si>
    <t>Clb</t>
    <phoneticPr fontId="45"/>
  </si>
  <si>
    <t>Cnb</t>
    <phoneticPr fontId="45"/>
  </si>
  <si>
    <t>Cyp</t>
    <phoneticPr fontId="45"/>
  </si>
  <si>
    <t>Clp</t>
    <phoneticPr fontId="45"/>
  </si>
  <si>
    <t>Cnp</t>
    <phoneticPr fontId="45"/>
  </si>
  <si>
    <t>Cyr</t>
    <phoneticPr fontId="45"/>
  </si>
  <si>
    <t>Clr</t>
    <phoneticPr fontId="45"/>
  </si>
  <si>
    <t>Cnr</t>
    <phoneticPr fontId="45"/>
  </si>
  <si>
    <t>Yb</t>
    <phoneticPr fontId="45"/>
  </si>
  <si>
    <t>Lb</t>
    <phoneticPr fontId="45"/>
  </si>
  <si>
    <t>Nb</t>
    <phoneticPr fontId="45"/>
  </si>
  <si>
    <t>Yp</t>
    <phoneticPr fontId="45"/>
  </si>
  <si>
    <t>Lp</t>
    <phoneticPr fontId="45"/>
  </si>
  <si>
    <t>Np</t>
    <phoneticPr fontId="45"/>
  </si>
  <si>
    <t>Yr</t>
    <phoneticPr fontId="45"/>
  </si>
  <si>
    <t>Lr</t>
    <phoneticPr fontId="45"/>
  </si>
  <si>
    <t>Nr</t>
    <phoneticPr fontId="45"/>
  </si>
  <si>
    <t>θ0</t>
    <phoneticPr fontId="45"/>
  </si>
  <si>
    <t>α0</t>
    <phoneticPr fontId="45"/>
  </si>
  <si>
    <t>rad</t>
    <phoneticPr fontId="45"/>
  </si>
  <si>
    <t>備考</t>
    <rPh sb="0" eb="2">
      <t>ビコウ</t>
    </rPh>
    <phoneticPr fontId="45"/>
  </si>
  <si>
    <t>今回安定軸を採用するのでゼロ</t>
    <rPh sb="0" eb="5">
      <t>コンカイアンテイジク</t>
    </rPh>
    <rPh sb="6" eb="8">
      <t>サイヨウ</t>
    </rPh>
    <phoneticPr fontId="45"/>
  </si>
  <si>
    <t>ロール・ヨー慣性乗積</t>
    <rPh sb="6" eb="10">
      <t>カンセイジョウセキ</t>
    </rPh>
    <phoneticPr fontId="45"/>
  </si>
  <si>
    <t>Ix</t>
    <phoneticPr fontId="45"/>
  </si>
  <si>
    <t>Iz</t>
    <phoneticPr fontId="45"/>
  </si>
  <si>
    <t>Iy</t>
    <phoneticPr fontId="45"/>
  </si>
  <si>
    <t>Ixz</t>
    <phoneticPr fontId="45"/>
  </si>
  <si>
    <t>-</t>
    <phoneticPr fontId="45"/>
  </si>
  <si>
    <t>安定軸は釣り合っている時の直進速度をU0と取る</t>
    <rPh sb="0" eb="2">
      <t>アンテイ</t>
    </rPh>
    <rPh sb="2" eb="3">
      <t>ジク</t>
    </rPh>
    <rPh sb="4" eb="5">
      <t>ツ</t>
    </rPh>
    <rPh sb="6" eb="7">
      <t>ア</t>
    </rPh>
    <rPh sb="11" eb="12">
      <t>トキ</t>
    </rPh>
    <rPh sb="13" eb="15">
      <t>チョクシン</t>
    </rPh>
    <rPh sb="15" eb="17">
      <t>ソクド</t>
    </rPh>
    <rPh sb="21" eb="22">
      <t>ト</t>
    </rPh>
    <phoneticPr fontId="45"/>
  </si>
  <si>
    <t>抗力中心からペラ中心までの高さ</t>
    <rPh sb="0" eb="2">
      <t>コウリョク</t>
    </rPh>
    <rPh sb="2" eb="4">
      <t>チュウシン</t>
    </rPh>
    <rPh sb="8" eb="10">
      <t>チュウシン</t>
    </rPh>
    <rPh sb="13" eb="14">
      <t>タカ</t>
    </rPh>
    <phoneticPr fontId="45"/>
  </si>
  <si>
    <t>H</t>
    <phoneticPr fontId="45"/>
  </si>
  <si>
    <t>有次元化係数</t>
    <rPh sb="0" eb="1">
      <t>ユウ</t>
    </rPh>
    <rPh sb="1" eb="3">
      <t>ジゲン</t>
    </rPh>
    <rPh sb="3" eb="4">
      <t>カ</t>
    </rPh>
    <rPh sb="4" eb="6">
      <t>ケイスウ</t>
    </rPh>
    <phoneticPr fontId="45"/>
  </si>
  <si>
    <t>オスワルト効率係数</t>
    <rPh sb="5" eb="7">
      <t>コウリツ</t>
    </rPh>
    <rPh sb="7" eb="9">
      <t>ケイスウ</t>
    </rPh>
    <phoneticPr fontId="45"/>
  </si>
  <si>
    <t>胴体容積比</t>
    <rPh sb="0" eb="2">
      <t>ドウタイ</t>
    </rPh>
    <rPh sb="2" eb="4">
      <t>ヨウセキ</t>
    </rPh>
    <rPh sb="4" eb="5">
      <t>ヒ</t>
    </rPh>
    <phoneticPr fontId="45"/>
  </si>
  <si>
    <t>Vfus*</t>
    <phoneticPr fontId="45"/>
  </si>
  <si>
    <t>Cma'</t>
    <phoneticPr fontId="45"/>
  </si>
  <si>
    <t>Ma'</t>
    <phoneticPr fontId="45"/>
  </si>
  <si>
    <t>ρU0S/2m</t>
    <phoneticPr fontId="45"/>
  </si>
  <si>
    <t>ρU0Scbar/4m</t>
    <phoneticPr fontId="45"/>
  </si>
  <si>
    <t>ρU0Scbar^2/4Iy</t>
    <phoneticPr fontId="45"/>
  </si>
  <si>
    <t>ρU0Scbar/2Iy</t>
    <phoneticPr fontId="45"/>
  </si>
  <si>
    <t>縦系分母多項式係数</t>
    <rPh sb="0" eb="1">
      <t>タテ</t>
    </rPh>
    <rPh sb="1" eb="2">
      <t>ケイ</t>
    </rPh>
    <rPh sb="2" eb="4">
      <t>ブンボ</t>
    </rPh>
    <rPh sb="4" eb="7">
      <t>タコウシキ</t>
    </rPh>
    <rPh sb="7" eb="9">
      <t>ケイスウ</t>
    </rPh>
    <phoneticPr fontId="45"/>
  </si>
  <si>
    <t>Zq</t>
    <phoneticPr fontId="45"/>
  </si>
  <si>
    <t>縦系</t>
    <rPh sb="0" eb="1">
      <t>タテ</t>
    </rPh>
    <rPh sb="1" eb="2">
      <t>ケイ</t>
    </rPh>
    <phoneticPr fontId="45"/>
  </si>
  <si>
    <t>横系</t>
    <rPh sb="0" eb="2">
      <t>ヨコケイ</t>
    </rPh>
    <phoneticPr fontId="45"/>
  </si>
  <si>
    <t>St</t>
    <phoneticPr fontId="45"/>
  </si>
  <si>
    <t>フルビッツ</t>
    <phoneticPr fontId="45"/>
  </si>
  <si>
    <t>断面揚力傾斜</t>
    <rPh sb="0" eb="2">
      <t>ダンメン</t>
    </rPh>
    <rPh sb="2" eb="4">
      <t>ヨウリョク</t>
    </rPh>
    <rPh sb="4" eb="6">
      <t>ケイシャ</t>
    </rPh>
    <phoneticPr fontId="45"/>
  </si>
  <si>
    <t>aw0</t>
    <phoneticPr fontId="45"/>
  </si>
  <si>
    <t>実機数値</t>
    <rPh sb="0" eb="2">
      <t>ジッキ</t>
    </rPh>
    <rPh sb="2" eb="4">
      <t>スウチ</t>
    </rPh>
    <phoneticPr fontId="45"/>
  </si>
  <si>
    <t>正負の合致</t>
    <rPh sb="0" eb="2">
      <t>セイフ</t>
    </rPh>
    <rPh sb="3" eb="5">
      <t>ガッチ</t>
    </rPh>
    <phoneticPr fontId="45"/>
  </si>
  <si>
    <t>なるたけ小さくする</t>
    <rPh sb="4" eb="5">
      <t>チイ</t>
    </rPh>
    <phoneticPr fontId="45"/>
  </si>
  <si>
    <t>スパン</t>
    <phoneticPr fontId="45"/>
  </si>
  <si>
    <t>垂直尾翼高さ</t>
    <rPh sb="0" eb="4">
      <t>スイチョクビヨク</t>
    </rPh>
    <rPh sb="4" eb="5">
      <t>タカ</t>
    </rPh>
    <phoneticPr fontId="45"/>
  </si>
  <si>
    <t>lf</t>
    <phoneticPr fontId="45"/>
  </si>
  <si>
    <t>水平尾翼揚力傾斜</t>
    <rPh sb="0" eb="2">
      <t>スイヘイ</t>
    </rPh>
    <rPh sb="2" eb="4">
      <t>ビヨク</t>
    </rPh>
    <rPh sb="4" eb="6">
      <t>ヨウリョク</t>
    </rPh>
    <rPh sb="6" eb="8">
      <t>ケイシャ</t>
    </rPh>
    <phoneticPr fontId="45"/>
  </si>
  <si>
    <t>垂直尾翼揚力傾斜</t>
    <rPh sb="0" eb="2">
      <t>スイチョク</t>
    </rPh>
    <rPh sb="2" eb="4">
      <t>ビヨク</t>
    </rPh>
    <rPh sb="4" eb="6">
      <t>ヨウリョク</t>
    </rPh>
    <rPh sb="6" eb="8">
      <t>ケイシャ</t>
    </rPh>
    <phoneticPr fontId="45"/>
  </si>
  <si>
    <t>atv</t>
    <phoneticPr fontId="45"/>
  </si>
  <si>
    <t>ath</t>
    <phoneticPr fontId="45"/>
  </si>
  <si>
    <t>垂直尾翼モーメントアーム</t>
    <rPh sb="0" eb="4">
      <t>スイチョクビヨク</t>
    </rPh>
    <phoneticPr fontId="45"/>
  </si>
  <si>
    <t>hv</t>
    <phoneticPr fontId="45"/>
  </si>
  <si>
    <t>垂直尾翼面積比</t>
    <rPh sb="0" eb="4">
      <t>スイチョクビヨク</t>
    </rPh>
    <rPh sb="4" eb="7">
      <t>メンセキヒ</t>
    </rPh>
    <phoneticPr fontId="45"/>
  </si>
  <si>
    <t>Sv/S</t>
    <phoneticPr fontId="45"/>
  </si>
  <si>
    <t>水平尾翼アスペクト比</t>
    <rPh sb="0" eb="2">
      <t>スイヘイ</t>
    </rPh>
    <rPh sb="2" eb="4">
      <t>ビヨク</t>
    </rPh>
    <rPh sb="9" eb="10">
      <t>ヒ</t>
    </rPh>
    <phoneticPr fontId="45"/>
  </si>
  <si>
    <t>Arh</t>
    <phoneticPr fontId="45"/>
  </si>
  <si>
    <t>Arv</t>
    <phoneticPr fontId="45"/>
  </si>
  <si>
    <t>垂直尾翼アスペクト比</t>
    <rPh sb="0" eb="4">
      <t>スイチョクビヨク</t>
    </rPh>
    <rPh sb="9" eb="10">
      <t>ヒ</t>
    </rPh>
    <phoneticPr fontId="45"/>
  </si>
  <si>
    <t>Lb'</t>
    <phoneticPr fontId="45"/>
  </si>
  <si>
    <t>Nb'</t>
    <phoneticPr fontId="45"/>
  </si>
  <si>
    <t>dL/db</t>
    <phoneticPr fontId="45"/>
  </si>
  <si>
    <t>dY/dr</t>
    <phoneticPr fontId="45"/>
  </si>
  <si>
    <t>dL/dr</t>
    <phoneticPr fontId="45"/>
  </si>
  <si>
    <t>dY/db</t>
    <phoneticPr fontId="45"/>
  </si>
  <si>
    <t>dY/dp</t>
    <phoneticPr fontId="45"/>
  </si>
  <si>
    <t>dN/dp</t>
    <phoneticPr fontId="45"/>
  </si>
  <si>
    <t>dN/db</t>
    <phoneticPr fontId="45"/>
  </si>
  <si>
    <t>dL/dp</t>
    <phoneticPr fontId="45"/>
  </si>
  <si>
    <t>dN/dr</t>
    <phoneticPr fontId="45"/>
  </si>
  <si>
    <t>Lp'</t>
    <phoneticPr fontId="45"/>
  </si>
  <si>
    <t>Np'</t>
    <phoneticPr fontId="45"/>
  </si>
  <si>
    <t>Lr'</t>
    <phoneticPr fontId="45"/>
  </si>
  <si>
    <t>Nr'</t>
    <phoneticPr fontId="45"/>
  </si>
  <si>
    <t>Ixx</t>
    <phoneticPr fontId="45"/>
  </si>
  <si>
    <t>Iyy</t>
    <phoneticPr fontId="45"/>
  </si>
  <si>
    <t>Izz</t>
    <phoneticPr fontId="45"/>
  </si>
  <si>
    <t>水平尾翼面積</t>
    <rPh sb="0" eb="2">
      <t>スイヘイ</t>
    </rPh>
    <rPh sb="2" eb="4">
      <t>ビヨク</t>
    </rPh>
    <rPh sb="4" eb="6">
      <t>メンセキ</t>
    </rPh>
    <phoneticPr fontId="45"/>
  </si>
  <si>
    <t>垂直尾翼面積</t>
    <rPh sb="0" eb="4">
      <t>スイチョクビヨク</t>
    </rPh>
    <rPh sb="4" eb="6">
      <t>メンセキ</t>
    </rPh>
    <phoneticPr fontId="45"/>
  </si>
  <si>
    <t>Sv</t>
    <phoneticPr fontId="45"/>
  </si>
  <si>
    <t>スパー重量</t>
    <rPh sb="3" eb="5">
      <t>ジュウリョウ</t>
    </rPh>
    <phoneticPr fontId="45"/>
  </si>
  <si>
    <t>前縁重量</t>
    <rPh sb="0" eb="2">
      <t>ゼンエン</t>
    </rPh>
    <rPh sb="2" eb="4">
      <t>ジュウリョウ</t>
    </rPh>
    <phoneticPr fontId="45"/>
  </si>
  <si>
    <t>[g]</t>
    <phoneticPr fontId="45"/>
  </si>
  <si>
    <t>後縁重量</t>
    <rPh sb="0" eb="2">
      <t>コウエン</t>
    </rPh>
    <rPh sb="2" eb="4">
      <t>ジュウリョウ</t>
    </rPh>
    <phoneticPr fontId="45"/>
  </si>
  <si>
    <t>リブ重量</t>
    <rPh sb="2" eb="4">
      <t>ジュウリョウ</t>
    </rPh>
    <phoneticPr fontId="45"/>
  </si>
  <si>
    <t>フィルム重量</t>
    <rPh sb="4" eb="6">
      <t>ジュウリョウ</t>
    </rPh>
    <phoneticPr fontId="45"/>
  </si>
  <si>
    <t>[kg.m^2]</t>
    <phoneticPr fontId="45"/>
  </si>
  <si>
    <t>局所ピッチ慣性モーメント</t>
    <rPh sb="0" eb="2">
      <t>キョクショ</t>
    </rPh>
    <rPh sb="5" eb="7">
      <t>カンセイ</t>
    </rPh>
    <phoneticPr fontId="45"/>
  </si>
  <si>
    <t>局所ヨー・ロール慣性モーメント</t>
    <rPh sb="0" eb="2">
      <t>キョクショ</t>
    </rPh>
    <rPh sb="8" eb="10">
      <t>カンセイ</t>
    </rPh>
    <phoneticPr fontId="45"/>
  </si>
  <si>
    <t>主翼ヨー・ロール慣性モーメント</t>
    <rPh sb="0" eb="2">
      <t>シュヨク</t>
    </rPh>
    <rPh sb="8" eb="10">
      <t>カンセイ</t>
    </rPh>
    <phoneticPr fontId="45"/>
  </si>
  <si>
    <t>主翼ピッチ慣性モーメント</t>
    <rPh sb="0" eb="2">
      <t>シュヨク</t>
    </rPh>
    <rPh sb="5" eb="7">
      <t>カンセイ</t>
    </rPh>
    <phoneticPr fontId="45"/>
  </si>
  <si>
    <t>ノーズからの距離[m]</t>
    <rPh sb="6" eb="8">
      <t>キョリ</t>
    </rPh>
    <phoneticPr fontId="45"/>
  </si>
  <si>
    <t>モータ位置[m]</t>
    <rPh sb="3" eb="5">
      <t>イチ</t>
    </rPh>
    <phoneticPr fontId="45"/>
  </si>
  <si>
    <t>リポ位置[m]</t>
    <rPh sb="2" eb="4">
      <t>イチ</t>
    </rPh>
    <phoneticPr fontId="45"/>
  </si>
  <si>
    <t>主翼MAC30%[mm]</t>
    <rPh sb="0" eb="2">
      <t>シュヨク</t>
    </rPh>
    <phoneticPr fontId="45"/>
  </si>
  <si>
    <t>ポテンシャル理論値*0.9</t>
    <rPh sb="6" eb="9">
      <t>リロンチ</t>
    </rPh>
    <phoneticPr fontId="45"/>
  </si>
  <si>
    <t>揚力線理論近似</t>
    <rPh sb="0" eb="2">
      <t>ヨウリョク</t>
    </rPh>
    <rPh sb="2" eb="3">
      <t>セン</t>
    </rPh>
    <rPh sb="3" eb="5">
      <t>リロン</t>
    </rPh>
    <rPh sb="5" eb="7">
      <t>キンジ</t>
    </rPh>
    <phoneticPr fontId="45"/>
  </si>
  <si>
    <t>実機数値から適当に決定</t>
    <rPh sb="0" eb="2">
      <t>ジッキ</t>
    </rPh>
    <rPh sb="2" eb="4">
      <t>スウチ</t>
    </rPh>
    <rPh sb="6" eb="8">
      <t>テキトウ</t>
    </rPh>
    <rPh sb="9" eb="11">
      <t>ケッテイ</t>
    </rPh>
    <phoneticPr fontId="45"/>
  </si>
  <si>
    <t>大体ピッチとロールの和</t>
    <rPh sb="0" eb="2">
      <t>ダイタイ</t>
    </rPh>
    <rPh sb="10" eb="11">
      <t>ワ</t>
    </rPh>
    <phoneticPr fontId="45"/>
  </si>
  <si>
    <t>LLT値</t>
    <rPh sb="3" eb="4">
      <t>アタイ</t>
    </rPh>
    <phoneticPr fontId="45"/>
  </si>
  <si>
    <t>諸元より</t>
    <rPh sb="0" eb="2">
      <t>ショゲン</t>
    </rPh>
    <phoneticPr fontId="45"/>
  </si>
  <si>
    <t>ρU0^2S/2m</t>
    <phoneticPr fontId="45"/>
  </si>
  <si>
    <t>ρU0^2Scbar/2Iy</t>
    <phoneticPr fontId="45"/>
  </si>
  <si>
    <t>Cmde</t>
    <phoneticPr fontId="45"/>
  </si>
  <si>
    <t>前方重心限界</t>
    <rPh sb="0" eb="2">
      <t>ゼンポウ</t>
    </rPh>
    <rPh sb="2" eb="4">
      <t>ジュウシン</t>
    </rPh>
    <rPh sb="4" eb="6">
      <t>ゲンカイ</t>
    </rPh>
    <phoneticPr fontId="45"/>
  </si>
  <si>
    <t>後方静重心限界</t>
    <rPh sb="0" eb="2">
      <t>コウホウ</t>
    </rPh>
    <rPh sb="2" eb="3">
      <t>セイ</t>
    </rPh>
    <rPh sb="3" eb="5">
      <t>ジュウシン</t>
    </rPh>
    <rPh sb="5" eb="7">
      <t>ゲンカイ</t>
    </rPh>
    <phoneticPr fontId="45"/>
  </si>
  <si>
    <t>xflr5より</t>
    <phoneticPr fontId="45"/>
  </si>
  <si>
    <t>横滑り静安定</t>
    <rPh sb="0" eb="1">
      <t>ヨコ</t>
    </rPh>
    <rPh sb="1" eb="2">
      <t>スベ</t>
    </rPh>
    <rPh sb="3" eb="4">
      <t>セイ</t>
    </rPh>
    <rPh sb="4" eb="6">
      <t>アンテイ</t>
    </rPh>
    <phoneticPr fontId="45"/>
  </si>
  <si>
    <t>横揺れ静安定</t>
    <rPh sb="0" eb="1">
      <t>ヨコ</t>
    </rPh>
    <rPh sb="1" eb="2">
      <t>ユ</t>
    </rPh>
    <rPh sb="3" eb="4">
      <t>セイ</t>
    </rPh>
    <rPh sb="4" eb="6">
      <t>アンテイ</t>
    </rPh>
    <phoneticPr fontId="45"/>
  </si>
  <si>
    <t>編揺れ静安定</t>
    <rPh sb="0" eb="1">
      <t>ヘン</t>
    </rPh>
    <rPh sb="1" eb="2">
      <t>ユ</t>
    </rPh>
    <rPh sb="3" eb="4">
      <t>セイ</t>
    </rPh>
    <rPh sb="4" eb="6">
      <t>アンテイ</t>
    </rPh>
    <phoneticPr fontId="45"/>
  </si>
  <si>
    <t>"a0"</t>
    <phoneticPr fontId="45"/>
  </si>
  <si>
    <t>"ad0"</t>
    <phoneticPr fontId="45"/>
  </si>
  <si>
    <t>a0</t>
    <phoneticPr fontId="45"/>
  </si>
  <si>
    <t>ad0</t>
    <phoneticPr fontId="45"/>
  </si>
  <si>
    <t>主翼抗力傾斜</t>
    <rPh sb="0" eb="2">
      <t>シュヨク</t>
    </rPh>
    <rPh sb="2" eb="4">
      <t>コウリョク</t>
    </rPh>
    <rPh sb="4" eb="6">
      <t>ケイシャ</t>
    </rPh>
    <phoneticPr fontId="45"/>
  </si>
  <si>
    <t>ad0</t>
    <phoneticPr fontId="45"/>
  </si>
  <si>
    <t>/rad</t>
    <phoneticPr fontId="45"/>
  </si>
  <si>
    <t>ρU0^2Sb/2Ix</t>
    <phoneticPr fontId="45"/>
  </si>
  <si>
    <t>ρU0^2Sb/2Iz</t>
    <phoneticPr fontId="45"/>
  </si>
  <si>
    <t>ρU0Sb/4m</t>
    <phoneticPr fontId="45"/>
  </si>
  <si>
    <t>ρU0Sb^2/4Ix</t>
    <phoneticPr fontId="45"/>
  </si>
  <si>
    <t>ρU0Sb^2/4Iz</t>
    <phoneticPr fontId="45"/>
  </si>
  <si>
    <t>横系係数</t>
    <rPh sb="0" eb="1">
      <t>ヨコ</t>
    </rPh>
    <rPh sb="1" eb="2">
      <t>ケイ</t>
    </rPh>
    <rPh sb="2" eb="4">
      <t>ケイスウ</t>
    </rPh>
    <phoneticPr fontId="45"/>
  </si>
  <si>
    <t>β</t>
    <phoneticPr fontId="45"/>
  </si>
  <si>
    <t>r</t>
    <phoneticPr fontId="45"/>
  </si>
  <si>
    <t>p</t>
    <phoneticPr fontId="45"/>
  </si>
  <si>
    <t>重心許容幅[mm]</t>
    <rPh sb="0" eb="2">
      <t>ジュウシン</t>
    </rPh>
    <rPh sb="2" eb="4">
      <t>キョヨウ</t>
    </rPh>
    <rPh sb="4" eb="5">
      <t>ハバ</t>
    </rPh>
    <phoneticPr fontId="45"/>
  </si>
  <si>
    <t>スパイラル根</t>
    <rPh sb="5" eb="6">
      <t>コン</t>
    </rPh>
    <phoneticPr fontId="45"/>
  </si>
  <si>
    <t>ダッチロール角周波数</t>
    <rPh sb="6" eb="10">
      <t>カクシュウハスウ</t>
    </rPh>
    <phoneticPr fontId="45"/>
  </si>
  <si>
    <t>ダッチロール減衰比</t>
    <rPh sb="6" eb="9">
      <t>ゲンスイヒ</t>
    </rPh>
    <phoneticPr fontId="45"/>
  </si>
  <si>
    <t>ロール根</t>
    <rPh sb="3" eb="4">
      <t>コン</t>
    </rPh>
    <phoneticPr fontId="45"/>
  </si>
  <si>
    <t>ロール時定数</t>
    <rPh sb="3" eb="6">
      <t>ジテイスウ</t>
    </rPh>
    <phoneticPr fontId="45"/>
  </si>
  <si>
    <t>フゴイド角周波数</t>
    <rPh sb="4" eb="8">
      <t>カクシュウハスウ</t>
    </rPh>
    <phoneticPr fontId="45"/>
  </si>
  <si>
    <t>&lt;1</t>
    <phoneticPr fontId="45"/>
  </si>
  <si>
    <t>&gt;1</t>
    <phoneticPr fontId="45"/>
  </si>
  <si>
    <t>&gt;0.08</t>
    <phoneticPr fontId="45"/>
  </si>
  <si>
    <t>&gt;0.15</t>
    <phoneticPr fontId="45"/>
  </si>
  <si>
    <t>振幅倍増時間</t>
    <rPh sb="0" eb="2">
      <t>シンプク</t>
    </rPh>
    <rPh sb="2" eb="4">
      <t>バイゾウ</t>
    </rPh>
    <rPh sb="4" eb="6">
      <t>ジカン</t>
    </rPh>
    <phoneticPr fontId="45"/>
  </si>
  <si>
    <t>&lt;12</t>
    <phoneticPr fontId="45"/>
  </si>
  <si>
    <t>トリム可能性によって決まる</t>
    <rPh sb="3" eb="6">
      <t>カノウセイ</t>
    </rPh>
    <rPh sb="10" eb="11">
      <t>キ</t>
    </rPh>
    <phoneticPr fontId="45"/>
  </si>
  <si>
    <t>`</t>
    <phoneticPr fontId="45"/>
  </si>
  <si>
    <t>ラワンベニア4mm</t>
    <phoneticPr fontId="45"/>
  </si>
  <si>
    <t>ラワンベニア4mm切り出し4*4棒</t>
    <rPh sb="9" eb="10">
      <t>キ</t>
    </rPh>
    <rPh sb="11" eb="12">
      <t>ダ</t>
    </rPh>
    <rPh sb="16" eb="17">
      <t>ボウ</t>
    </rPh>
    <phoneticPr fontId="45"/>
  </si>
  <si>
    <t>Eライトフィルム</t>
    <phoneticPr fontId="45"/>
  </si>
  <si>
    <t>2mmバルサ+両面グラス</t>
    <rPh sb="7" eb="9">
      <t>リョウメン</t>
    </rPh>
    <phoneticPr fontId="45"/>
  </si>
  <si>
    <t>ダッチロール指数（絶対値）</t>
    <rPh sb="6" eb="8">
      <t>シスウ</t>
    </rPh>
    <rPh sb="9" eb="12">
      <t>ゼッタイチ</t>
    </rPh>
    <phoneticPr fontId="45"/>
  </si>
  <si>
    <t>ラワンべニア</t>
    <phoneticPr fontId="45"/>
  </si>
  <si>
    <t>PLA2.3mm*100mm*40mm</t>
    <phoneticPr fontId="45"/>
  </si>
  <si>
    <t>ラワンベニア4mm切り出し4*10棒</t>
    <rPh sb="9" eb="10">
      <t>キ</t>
    </rPh>
    <rPh sb="11" eb="12">
      <t>ダ</t>
    </rPh>
    <rPh sb="17" eb="18">
      <t>ボウ</t>
    </rPh>
    <phoneticPr fontId="45"/>
  </si>
  <si>
    <t>APC7inchペラ</t>
    <phoneticPr fontId="45"/>
  </si>
  <si>
    <t>ラワンベニア2.7mm</t>
    <phoneticPr fontId="45"/>
  </si>
  <si>
    <t>ラワンベニア2.7mm（軽）</t>
    <rPh sb="12" eb="13">
      <t>カル</t>
    </rPh>
    <phoneticPr fontId="45"/>
  </si>
  <si>
    <t>→</t>
    <phoneticPr fontId="45"/>
  </si>
  <si>
    <t>薄手ウエット両面+バルサのほうが軽い</t>
    <rPh sb="0" eb="2">
      <t>ウスデ</t>
    </rPh>
    <rPh sb="6" eb="8">
      <t>リョウメン</t>
    </rPh>
    <rPh sb="16" eb="17">
      <t>カル</t>
    </rPh>
    <phoneticPr fontId="45"/>
  </si>
  <si>
    <t>1.7mmバルサ</t>
    <phoneticPr fontId="45"/>
  </si>
  <si>
    <t>釣り合い尾翼迎角</t>
    <rPh sb="0" eb="1">
      <t>ツ</t>
    </rPh>
    <rPh sb="2" eb="3">
      <t>ア</t>
    </rPh>
    <rPh sb="4" eb="6">
      <t>ビヨク</t>
    </rPh>
    <rPh sb="6" eb="8">
      <t>ゲイカク</t>
    </rPh>
    <phoneticPr fontId="45"/>
  </si>
  <si>
    <t>EPP1mm</t>
    <phoneticPr fontId="45"/>
  </si>
  <si>
    <t>デコパネ（素,5mm）</t>
    <rPh sb="5" eb="6">
      <t xml:space="preserve">ス </t>
    </rPh>
    <phoneticPr fontId="45"/>
  </si>
  <si>
    <t>オブジェクトを選択:</t>
  </si>
  <si>
    <t>領域 = 4857.8011、トリム領域 = 0.0000 , 周長 = 584.7049</t>
  </si>
  <si>
    <t>GOE 57 AIRFOIL</t>
  </si>
  <si>
    <t>[m]</t>
    <phoneticPr fontId="45"/>
  </si>
  <si>
    <t>ルート前縁基準翼素25%位置</t>
    <rPh sb="5" eb="7">
      <t>キジュn</t>
    </rPh>
    <rPh sb="7" eb="9">
      <t xml:space="preserve">ヨクソ </t>
    </rPh>
    <rPh sb="12" eb="14">
      <t>イティ</t>
    </rPh>
    <phoneticPr fontId="45"/>
  </si>
  <si>
    <t>F列×コード長</t>
    <rPh sb="1" eb="2">
      <t>レテゥ</t>
    </rPh>
    <phoneticPr fontId="45"/>
  </si>
  <si>
    <t>MAC25位置[mm]</t>
    <rPh sb="5" eb="7">
      <t>I</t>
    </rPh>
    <phoneticPr fontId="45"/>
  </si>
  <si>
    <t>スパー高さ</t>
    <phoneticPr fontId="45"/>
  </si>
  <si>
    <t>[mm]</t>
    <phoneticPr fontId="45"/>
  </si>
  <si>
    <t>上反差引</t>
    <rPh sb="0" eb="1">
      <t>ジョウ</t>
    </rPh>
    <rPh sb="1" eb="2">
      <t xml:space="preserve">ハン </t>
    </rPh>
    <rPh sb="2" eb="3">
      <t>サシヒキ</t>
    </rPh>
    <phoneticPr fontId="45"/>
  </si>
  <si>
    <t>平均コード長[m]</t>
    <rPh sb="0" eb="2">
      <t>ヘイキn</t>
    </rPh>
    <phoneticPr fontId="45"/>
  </si>
  <si>
    <t>GOE_57_AIRFOIL</t>
    <phoneticPr fontId="45"/>
  </si>
  <si>
    <t>桁穴高差</t>
    <rPh sb="0" eb="1">
      <t>ケタ</t>
    </rPh>
    <rPh sb="1" eb="2">
      <t>アナ</t>
    </rPh>
    <rPh sb="2" eb="3">
      <t>タカ</t>
    </rPh>
    <rPh sb="3" eb="4">
      <t>サ</t>
    </rPh>
    <phoneticPr fontId="45"/>
  </si>
  <si>
    <t>桁径[mm]</t>
    <rPh sb="0" eb="1">
      <t>ケタ</t>
    </rPh>
    <rPh sb="1" eb="2">
      <t>ケイ</t>
    </rPh>
    <phoneticPr fontId="45"/>
  </si>
  <si>
    <t>上反角[deg]</t>
    <rPh sb="0" eb="3">
      <t>ジョウハンカク</t>
    </rPh>
    <phoneticPr fontId="45"/>
  </si>
  <si>
    <t>曲げ最大応力[GPa]</t>
    <rPh sb="0" eb="1">
      <t>マ</t>
    </rPh>
    <rPh sb="2" eb="4">
      <t>サイダイ</t>
    </rPh>
    <rPh sb="4" eb="6">
      <t>オウリョク</t>
    </rPh>
    <phoneticPr fontId="45"/>
  </si>
  <si>
    <t>面積[mm^2]</t>
    <rPh sb="0" eb="2">
      <t>メンセキ</t>
    </rPh>
    <phoneticPr fontId="45"/>
  </si>
  <si>
    <t>尾翼容積比</t>
    <rPh sb="0" eb="2">
      <t>ビヨク</t>
    </rPh>
    <rPh sb="2" eb="5">
      <t>ヨウセキヒ</t>
    </rPh>
    <phoneticPr fontId="45"/>
  </si>
  <si>
    <t>Lavender</t>
    <phoneticPr fontId="45"/>
  </si>
  <si>
    <t>翼素面積</t>
    <rPh sb="0" eb="4">
      <t>ヨクソメンセキ</t>
    </rPh>
    <phoneticPr fontId="45"/>
  </si>
  <si>
    <t>mm＾２</t>
    <phoneticPr fontId="45"/>
  </si>
  <si>
    <t>airspeed</t>
  </si>
  <si>
    <t>weight</t>
  </si>
  <si>
    <t>aoa</t>
  </si>
  <si>
    <t>aoah</t>
  </si>
  <si>
    <t>aoae</t>
  </si>
  <si>
    <t>Tof</t>
  </si>
  <si>
    <t>wingLift</t>
  </si>
  <si>
    <t>drag_i</t>
  </si>
  <si>
    <t>drag_f</t>
  </si>
  <si>
    <t>wingdrag</t>
  </si>
  <si>
    <t>S</t>
  </si>
  <si>
    <t>Lifth</t>
  </si>
  <si>
    <t>dragh_i</t>
  </si>
  <si>
    <t>dragh_f</t>
  </si>
  <si>
    <t>dragh</t>
  </si>
  <si>
    <t>Sh</t>
  </si>
  <si>
    <t>Vh</t>
  </si>
  <si>
    <t>dragf_f</t>
  </si>
  <si>
    <t>Vf</t>
  </si>
  <si>
    <t>Sf</t>
  </si>
  <si>
    <t>Lift</t>
  </si>
  <si>
    <t>drag</t>
  </si>
  <si>
    <t>CL</t>
  </si>
  <si>
    <t>CD</t>
  </si>
  <si>
    <t>上昇率</t>
    <rPh sb="0" eb="1">
      <t>ジョウショウ</t>
    </rPh>
    <phoneticPr fontId="45"/>
  </si>
  <si>
    <t>釣り合い姿勢</t>
    <rPh sb="0" eb="1">
      <t>ツリアイス</t>
    </rPh>
    <phoneticPr fontId="45"/>
  </si>
  <si>
    <t>ルート前縁基準翼素0%位置</t>
    <rPh sb="5" eb="7">
      <t>キジュn</t>
    </rPh>
    <rPh sb="7" eb="9">
      <t xml:space="preserve">ヨクソ </t>
    </rPh>
    <rPh sb="11" eb="13">
      <t>イティ</t>
    </rPh>
    <phoneticPr fontId="45"/>
  </si>
  <si>
    <t>MAC0位置[mm]</t>
    <rPh sb="4" eb="6">
      <t>I</t>
    </rPh>
    <phoneticPr fontId="4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</si>
</sst>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20"/>
      <color theme="1"/>
      <name val="Yu Gothic"/>
      <family val="3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10"/>
      <color theme="1"/>
      <name val="Yu Gothic"/>
      <family val="2"/>
      <charset val="128"/>
      <scheme val="minor"/>
    </font>
    <font>
      <sz val="10"/>
      <color theme="1"/>
      <name val="Yu Gothic"/>
      <family val="3"/>
      <charset val="128"/>
      <scheme val="minor"/>
    </font>
    <font>
      <sz val="22"/>
      <color theme="1"/>
      <name val="Yu Gothic"/>
      <family val="3"/>
      <charset val="128"/>
      <scheme val="minor"/>
    </font>
    <font>
      <sz val="24"/>
      <name val="Yu Gothic"/>
      <family val="3"/>
      <charset val="128"/>
      <scheme val="minor"/>
    </font>
    <font>
      <sz val="11"/>
      <color theme="0"/>
      <name val="Yu Gothic"/>
      <family val="3"/>
      <charset val="128"/>
      <scheme val="minor"/>
    </font>
    <font>
      <sz val="26"/>
      <color theme="1"/>
      <name val="Yu Gothic"/>
      <family val="2"/>
      <scheme val="minor"/>
    </font>
    <font>
      <sz val="36"/>
      <color theme="1"/>
      <name val="Yu Gothic"/>
      <family val="2"/>
      <scheme val="minor"/>
    </font>
    <font>
      <sz val="48"/>
      <color rgb="FFFFFF00"/>
      <name val="Yu Gothic"/>
      <family val="2"/>
      <scheme val="minor"/>
    </font>
    <font>
      <sz val="28"/>
      <color theme="1"/>
      <name val="Yu Gothic"/>
      <family val="3"/>
      <charset val="128"/>
      <scheme val="minor"/>
    </font>
    <font>
      <sz val="28"/>
      <color rgb="FFFF000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8"/>
      <color theme="1"/>
      <name val="Yu Gothic"/>
      <family val="3"/>
      <charset val="128"/>
      <scheme val="minor"/>
    </font>
    <font>
      <sz val="18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2"/>
      <color rgb="FF000000"/>
      <name val="游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43" fillId="0" borderId="0">
      <alignment vertical="center"/>
    </xf>
    <xf numFmtId="0" fontId="38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9" fillId="0" borderId="0">
      <alignment vertical="center"/>
    </xf>
  </cellStyleXfs>
  <cellXfs count="128">
    <xf numFmtId="0" fontId="0" fillId="0" borderId="0" xfId="0"/>
    <xf numFmtId="0" fontId="43" fillId="0" borderId="0" xfId="1">
      <alignment vertical="center"/>
    </xf>
    <xf numFmtId="0" fontId="43" fillId="0" borderId="0" xfId="1" applyAlignment="1">
      <alignment horizontal="center" vertical="center"/>
    </xf>
    <xf numFmtId="0" fontId="43" fillId="0" borderId="0" xfId="1" applyAlignment="1">
      <alignment horizontal="left" vertical="center"/>
    </xf>
    <xf numFmtId="0" fontId="43" fillId="10" borderId="0" xfId="1" applyFill="1">
      <alignment vertical="center"/>
    </xf>
    <xf numFmtId="0" fontId="43" fillId="12" borderId="0" xfId="1" applyFill="1">
      <alignment vertical="center"/>
    </xf>
    <xf numFmtId="0" fontId="43" fillId="11" borderId="0" xfId="1" applyFill="1">
      <alignment vertical="center"/>
    </xf>
    <xf numFmtId="0" fontId="43" fillId="3" borderId="0" xfId="1" applyFill="1" applyAlignment="1">
      <alignment horizontal="left" vertical="center"/>
    </xf>
    <xf numFmtId="0" fontId="43" fillId="9" borderId="0" xfId="1" applyFill="1" applyAlignment="1">
      <alignment horizontal="left" vertical="center"/>
    </xf>
    <xf numFmtId="0" fontId="0" fillId="0" borderId="0" xfId="0" applyAlignment="1">
      <alignment vertical="center"/>
    </xf>
    <xf numFmtId="0" fontId="43" fillId="8" borderId="0" xfId="1" applyFill="1" applyAlignment="1">
      <alignment horizontal="left" vertical="center"/>
    </xf>
    <xf numFmtId="0" fontId="42" fillId="10" borderId="0" xfId="1" applyFont="1" applyFill="1">
      <alignment vertical="center"/>
    </xf>
    <xf numFmtId="0" fontId="41" fillId="7" borderId="0" xfId="1" applyFont="1" applyFill="1" applyAlignment="1">
      <alignment horizontal="left" vertical="center"/>
    </xf>
    <xf numFmtId="0" fontId="41" fillId="10" borderId="0" xfId="1" applyFont="1" applyFill="1">
      <alignment vertical="center"/>
    </xf>
    <xf numFmtId="0" fontId="41" fillId="9" borderId="0" xfId="1" applyFont="1" applyFill="1">
      <alignment vertical="center"/>
    </xf>
    <xf numFmtId="0" fontId="43" fillId="9" borderId="0" xfId="1" applyFill="1">
      <alignment vertical="center"/>
    </xf>
    <xf numFmtId="0" fontId="0" fillId="8" borderId="0" xfId="0" applyFill="1"/>
    <xf numFmtId="0" fontId="0" fillId="12" borderId="0" xfId="0" applyFill="1"/>
    <xf numFmtId="0" fontId="0" fillId="10" borderId="0" xfId="0" applyFill="1"/>
    <xf numFmtId="0" fontId="39" fillId="10" borderId="0" xfId="1" applyFont="1" applyFill="1">
      <alignment vertical="center"/>
    </xf>
    <xf numFmtId="0" fontId="40" fillId="10" borderId="0" xfId="1" applyFont="1" applyFill="1">
      <alignment vertical="center"/>
    </xf>
    <xf numFmtId="0" fontId="0" fillId="14" borderId="0" xfId="0" applyFill="1"/>
    <xf numFmtId="0" fontId="38" fillId="0" borderId="0" xfId="2">
      <alignment vertical="center"/>
    </xf>
    <xf numFmtId="0" fontId="38" fillId="0" borderId="0" xfId="2" applyAlignment="1">
      <alignment horizontal="center" vertical="center"/>
    </xf>
    <xf numFmtId="0" fontId="37" fillId="0" borderId="0" xfId="2" applyFont="1">
      <alignment vertical="center"/>
    </xf>
    <xf numFmtId="0" fontId="36" fillId="10" borderId="0" xfId="1" applyFont="1" applyFill="1">
      <alignment vertical="center"/>
    </xf>
    <xf numFmtId="0" fontId="36" fillId="0" borderId="0" xfId="2" applyFont="1">
      <alignment vertical="center"/>
    </xf>
    <xf numFmtId="0" fontId="35" fillId="0" borderId="0" xfId="2" applyFont="1">
      <alignment vertical="center"/>
    </xf>
    <xf numFmtId="0" fontId="35" fillId="10" borderId="0" xfId="1" applyFont="1" applyFill="1">
      <alignment vertical="center"/>
    </xf>
    <xf numFmtId="0" fontId="0" fillId="15" borderId="0" xfId="0" applyFill="1"/>
    <xf numFmtId="0" fontId="34" fillId="10" borderId="0" xfId="1" applyFont="1" applyFill="1">
      <alignment vertical="center"/>
    </xf>
    <xf numFmtId="0" fontId="0" fillId="17" borderId="0" xfId="0" applyFill="1"/>
    <xf numFmtId="0" fontId="0" fillId="16" borderId="0" xfId="0" applyFill="1"/>
    <xf numFmtId="0" fontId="0" fillId="20" borderId="0" xfId="0" applyFill="1"/>
    <xf numFmtId="0" fontId="0" fillId="13" borderId="0" xfId="0" applyFill="1"/>
    <xf numFmtId="0" fontId="0" fillId="4" borderId="0" xfId="0" applyFill="1"/>
    <xf numFmtId="0" fontId="0" fillId="9" borderId="0" xfId="0" applyFill="1"/>
    <xf numFmtId="0" fontId="0" fillId="23" borderId="0" xfId="0" applyFill="1"/>
    <xf numFmtId="0" fontId="0" fillId="24" borderId="0" xfId="0" applyFill="1"/>
    <xf numFmtId="0" fontId="33" fillId="0" borderId="0" xfId="2" applyFont="1">
      <alignment vertical="center"/>
    </xf>
    <xf numFmtId="0" fontId="32" fillId="0" borderId="0" xfId="2" applyFont="1">
      <alignment vertical="center"/>
    </xf>
    <xf numFmtId="0" fontId="31" fillId="0" borderId="0" xfId="2" applyFont="1">
      <alignment vertical="center"/>
    </xf>
    <xf numFmtId="0" fontId="30" fillId="0" borderId="0" xfId="2" applyFont="1">
      <alignment vertical="center"/>
    </xf>
    <xf numFmtId="0" fontId="30" fillId="10" borderId="0" xfId="1" applyFont="1" applyFill="1">
      <alignment vertical="center"/>
    </xf>
    <xf numFmtId="0" fontId="29" fillId="0" borderId="0" xfId="2" applyFont="1">
      <alignment vertical="center"/>
    </xf>
    <xf numFmtId="0" fontId="28" fillId="0" borderId="0" xfId="2" applyFont="1">
      <alignment vertical="center"/>
    </xf>
    <xf numFmtId="0" fontId="27" fillId="0" borderId="0" xfId="2" applyFont="1">
      <alignment vertical="center"/>
    </xf>
    <xf numFmtId="0" fontId="26" fillId="0" borderId="0" xfId="1" applyFont="1">
      <alignment vertical="center"/>
    </xf>
    <xf numFmtId="0" fontId="25" fillId="0" borderId="0" xfId="2" applyFont="1">
      <alignment vertical="center"/>
    </xf>
    <xf numFmtId="0" fontId="24" fillId="0" borderId="0" xfId="2" applyFont="1">
      <alignment vertical="center"/>
    </xf>
    <xf numFmtId="0" fontId="23" fillId="0" borderId="0" xfId="2" applyFont="1">
      <alignment vertical="center"/>
    </xf>
    <xf numFmtId="0" fontId="22" fillId="0" borderId="0" xfId="2" applyFont="1">
      <alignment vertical="center"/>
    </xf>
    <xf numFmtId="0" fontId="0" fillId="2" borderId="0" xfId="0" applyFill="1"/>
    <xf numFmtId="0" fontId="21" fillId="10" borderId="0" xfId="1" applyFont="1" applyFill="1">
      <alignment vertical="center"/>
    </xf>
    <xf numFmtId="0" fontId="20" fillId="0" borderId="0" xfId="3">
      <alignment vertical="center"/>
    </xf>
    <xf numFmtId="0" fontId="0" fillId="2" borderId="0" xfId="0" applyFill="1" applyAlignment="1">
      <alignment vertical="center"/>
    </xf>
    <xf numFmtId="0" fontId="20" fillId="2" borderId="0" xfId="3" applyFill="1">
      <alignment vertical="center"/>
    </xf>
    <xf numFmtId="0" fontId="52" fillId="0" borderId="0" xfId="0" applyFont="1"/>
    <xf numFmtId="0" fontId="53" fillId="0" borderId="0" xfId="0" applyFont="1"/>
    <xf numFmtId="0" fontId="55" fillId="0" borderId="0" xfId="0" applyFont="1"/>
    <xf numFmtId="0" fontId="57" fillId="0" borderId="0" xfId="0" applyFont="1"/>
    <xf numFmtId="0" fontId="18" fillId="0" borderId="0" xfId="3" applyFont="1">
      <alignment vertical="center"/>
    </xf>
    <xf numFmtId="0" fontId="17" fillId="0" borderId="0" xfId="2" applyFont="1">
      <alignment vertical="center"/>
    </xf>
    <xf numFmtId="0" fontId="43" fillId="5" borderId="0" xfId="1" applyFill="1" applyAlignment="1">
      <alignment horizontal="left" vertical="center"/>
    </xf>
    <xf numFmtId="0" fontId="58" fillId="0" borderId="0" xfId="0" applyFont="1" applyAlignment="1">
      <alignment vertical="center"/>
    </xf>
    <xf numFmtId="0" fontId="16" fillId="3" borderId="0" xfId="1" applyFont="1" applyFill="1" applyAlignment="1">
      <alignment horizontal="left" vertical="center"/>
    </xf>
    <xf numFmtId="0" fontId="16" fillId="7" borderId="0" xfId="1" applyFont="1" applyFill="1" applyAlignment="1">
      <alignment horizontal="left" vertical="center"/>
    </xf>
    <xf numFmtId="0" fontId="16" fillId="10" borderId="0" xfId="1" applyFont="1" applyFill="1">
      <alignment vertical="center"/>
    </xf>
    <xf numFmtId="0" fontId="15" fillId="0" borderId="0" xfId="1" applyFont="1">
      <alignment vertical="center"/>
    </xf>
    <xf numFmtId="0" fontId="0" fillId="13" borderId="0" xfId="0" applyFill="1" applyAlignment="1">
      <alignment horizontal="center"/>
    </xf>
    <xf numFmtId="0" fontId="58" fillId="0" borderId="0" xfId="0" applyFont="1" applyAlignment="1">
      <alignment horizontal="center" vertical="center"/>
    </xf>
    <xf numFmtId="0" fontId="14" fillId="7" borderId="0" xfId="1" applyFont="1" applyFill="1" applyAlignment="1">
      <alignment horizontal="left" vertical="center"/>
    </xf>
    <xf numFmtId="0" fontId="14" fillId="10" borderId="0" xfId="1" applyFont="1" applyFill="1">
      <alignment vertical="center"/>
    </xf>
    <xf numFmtId="0" fontId="13" fillId="0" borderId="0" xfId="1" applyFont="1">
      <alignment vertical="center"/>
    </xf>
    <xf numFmtId="0" fontId="12" fillId="0" borderId="0" xfId="2" applyFont="1">
      <alignment vertical="center"/>
    </xf>
    <xf numFmtId="0" fontId="11" fillId="0" borderId="0" xfId="2" applyFont="1">
      <alignment vertical="center"/>
    </xf>
    <xf numFmtId="0" fontId="10" fillId="0" borderId="0" xfId="2" applyFont="1">
      <alignment vertical="center"/>
    </xf>
    <xf numFmtId="0" fontId="9" fillId="0" borderId="0" xfId="5">
      <alignment vertical="center"/>
    </xf>
    <xf numFmtId="0" fontId="8" fillId="0" borderId="0" xfId="3" applyFont="1">
      <alignment vertical="center"/>
    </xf>
    <xf numFmtId="0" fontId="7" fillId="0" borderId="0" xfId="2" applyFont="1">
      <alignment vertical="center"/>
    </xf>
    <xf numFmtId="0" fontId="6" fillId="0" borderId="0" xfId="2" applyFont="1">
      <alignment vertical="center"/>
    </xf>
    <xf numFmtId="0" fontId="5" fillId="0" borderId="0" xfId="2" applyFont="1">
      <alignment vertical="center"/>
    </xf>
    <xf numFmtId="0" fontId="4" fillId="0" borderId="0" xfId="2" applyFont="1">
      <alignment vertical="center"/>
    </xf>
    <xf numFmtId="0" fontId="3" fillId="0" borderId="0" xfId="2" applyFont="1">
      <alignment vertical="center"/>
    </xf>
    <xf numFmtId="0" fontId="2" fillId="0" borderId="0" xfId="2" applyFont="1">
      <alignment vertical="center"/>
    </xf>
    <xf numFmtId="0" fontId="2" fillId="7" borderId="0" xfId="1" applyFont="1" applyFill="1" applyAlignment="1">
      <alignment horizontal="left" vertical="center"/>
    </xf>
    <xf numFmtId="0" fontId="2" fillId="10" borderId="0" xfId="1" applyFont="1" applyFill="1">
      <alignment vertical="center"/>
    </xf>
    <xf numFmtId="0" fontId="2" fillId="8" borderId="0" xfId="1" applyFont="1" applyFill="1" applyAlignment="1">
      <alignment horizontal="left" vertical="center"/>
    </xf>
    <xf numFmtId="0" fontId="2" fillId="12" borderId="0" xfId="1" applyFont="1" applyFill="1">
      <alignment vertical="center"/>
    </xf>
    <xf numFmtId="0" fontId="1" fillId="2" borderId="0" xfId="3" applyFont="1" applyFill="1">
      <alignment vertical="center"/>
    </xf>
    <xf numFmtId="0" fontId="1" fillId="7" borderId="0" xfId="1" applyFont="1" applyFill="1" applyAlignment="1">
      <alignment horizontal="left" vertical="center"/>
    </xf>
    <xf numFmtId="14" fontId="1" fillId="10" borderId="0" xfId="1" applyNumberFormat="1" applyFont="1" applyFill="1">
      <alignment vertical="center"/>
    </xf>
    <xf numFmtId="0" fontId="1" fillId="0" borderId="0" xfId="1" applyFont="1">
      <alignment vertical="center"/>
    </xf>
    <xf numFmtId="0" fontId="61" fillId="0" borderId="0" xfId="0" applyFont="1" applyAlignment="1">
      <alignment vertical="center"/>
    </xf>
    <xf numFmtId="0" fontId="0" fillId="6" borderId="0" xfId="0" applyFill="1"/>
    <xf numFmtId="0" fontId="54" fillId="21" borderId="0" xfId="0" applyFont="1" applyFill="1" applyAlignment="1">
      <alignment horizontal="center" vertical="center"/>
    </xf>
    <xf numFmtId="0" fontId="32" fillId="0" borderId="0" xfId="2" applyFont="1" applyAlignment="1">
      <alignment horizontal="center" vertical="center" wrapText="1"/>
    </xf>
    <xf numFmtId="0" fontId="38" fillId="0" borderId="0" xfId="2" applyAlignment="1">
      <alignment horizontal="center" vertical="center" wrapText="1"/>
    </xf>
    <xf numFmtId="0" fontId="37" fillId="0" borderId="0" xfId="2" applyFont="1" applyAlignment="1">
      <alignment horizontal="center" vertical="center" wrapText="1"/>
    </xf>
    <xf numFmtId="0" fontId="44" fillId="2" borderId="0" xfId="2" applyFont="1" applyFill="1" applyAlignment="1">
      <alignment horizontal="center" vertical="center"/>
    </xf>
    <xf numFmtId="0" fontId="38" fillId="0" borderId="0" xfId="2" applyAlignment="1">
      <alignment horizontal="center" vertical="center"/>
    </xf>
    <xf numFmtId="0" fontId="27" fillId="0" borderId="0" xfId="2" applyFont="1" applyAlignment="1">
      <alignment horizontal="center" vertical="center" wrapText="1"/>
    </xf>
    <xf numFmtId="0" fontId="43" fillId="9" borderId="0" xfId="1" applyFill="1" applyAlignment="1">
      <alignment horizontal="center" vertical="center" wrapText="1"/>
    </xf>
    <xf numFmtId="0" fontId="41" fillId="9" borderId="0" xfId="1" applyFont="1" applyFill="1" applyAlignment="1">
      <alignment horizontal="center" vertical="center" wrapText="1"/>
    </xf>
    <xf numFmtId="0" fontId="47" fillId="9" borderId="0" xfId="1" applyFont="1" applyFill="1" applyAlignment="1">
      <alignment horizontal="center" vertical="center" wrapText="1"/>
    </xf>
    <xf numFmtId="0" fontId="48" fillId="9" borderId="0" xfId="1" applyFont="1" applyFill="1" applyAlignment="1">
      <alignment horizontal="center" vertical="center" wrapText="1"/>
    </xf>
    <xf numFmtId="0" fontId="43" fillId="8" borderId="0" xfId="1" applyFill="1" applyAlignment="1">
      <alignment horizontal="left" vertical="center"/>
    </xf>
    <xf numFmtId="0" fontId="59" fillId="8" borderId="0" xfId="1" applyFont="1" applyFill="1" applyAlignment="1">
      <alignment horizontal="center" vertical="center"/>
    </xf>
    <xf numFmtId="0" fontId="58" fillId="8" borderId="0" xfId="1" applyFont="1" applyFill="1" applyAlignment="1">
      <alignment horizontal="center" vertical="center"/>
    </xf>
    <xf numFmtId="0" fontId="47" fillId="8" borderId="0" xfId="1" applyFont="1" applyFill="1" applyAlignment="1">
      <alignment horizontal="center" vertical="center" wrapText="1"/>
    </xf>
    <xf numFmtId="0" fontId="48" fillId="8" borderId="0" xfId="1" applyFont="1" applyFill="1" applyAlignment="1">
      <alignment horizontal="center" vertical="center" wrapText="1"/>
    </xf>
    <xf numFmtId="0" fontId="43" fillId="8" borderId="0" xfId="1" applyFill="1" applyAlignment="1">
      <alignment horizontal="center" vertical="center"/>
    </xf>
    <xf numFmtId="0" fontId="43" fillId="0" borderId="0" xfId="1" applyAlignment="1">
      <alignment horizontal="center" vertical="center"/>
    </xf>
    <xf numFmtId="0" fontId="43" fillId="0" borderId="0" xfId="1" applyAlignment="1">
      <alignment horizontal="center" vertical="center" wrapText="1"/>
    </xf>
    <xf numFmtId="0" fontId="43" fillId="6" borderId="0" xfId="1" applyFill="1" applyAlignment="1">
      <alignment horizontal="left" vertical="center"/>
    </xf>
    <xf numFmtId="0" fontId="47" fillId="13" borderId="0" xfId="1" applyFont="1" applyFill="1" applyAlignment="1">
      <alignment horizontal="center" vertical="center"/>
    </xf>
    <xf numFmtId="0" fontId="43" fillId="4" borderId="0" xfId="1" applyFill="1" applyAlignment="1">
      <alignment horizontal="left" vertical="center"/>
    </xf>
    <xf numFmtId="0" fontId="43" fillId="5" borderId="0" xfId="1" applyFill="1" applyAlignment="1">
      <alignment horizontal="left" vertical="center"/>
    </xf>
    <xf numFmtId="0" fontId="43" fillId="9" borderId="0" xfId="1" applyFill="1" applyAlignment="1">
      <alignment horizontal="center" vertical="center"/>
    </xf>
    <xf numFmtId="0" fontId="43" fillId="9" borderId="0" xfId="1" applyFill="1" applyAlignment="1">
      <alignment horizontal="left" vertical="center"/>
    </xf>
    <xf numFmtId="0" fontId="50" fillId="18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51" fillId="22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49" fillId="16" borderId="0" xfId="0" applyFont="1" applyFill="1" applyAlignment="1">
      <alignment horizontal="center" vertical="center"/>
    </xf>
    <xf numFmtId="0" fontId="58" fillId="0" borderId="0" xfId="0" applyFont="1" applyAlignment="1">
      <alignment horizontal="center" vertical="center"/>
    </xf>
  </cellXfs>
  <cellStyles count="6">
    <cellStyle name="標準" xfId="0" builtinId="0"/>
    <cellStyle name="標準 2" xfId="1" xr:uid="{897C52F7-43D6-47A1-BE7B-41E066F6692F}"/>
    <cellStyle name="標準 3" xfId="2" xr:uid="{095C3C38-CCD9-491D-883B-50C5B8E7E47F}"/>
    <cellStyle name="標準 4" xfId="3" xr:uid="{6CBA0152-A068-4D6F-B740-1A91E3FCB9E7}"/>
    <cellStyle name="標準 5" xfId="4" xr:uid="{5AE508FD-AB0F-4C2C-92D6-725034F62839}"/>
    <cellStyle name="標準 6" xfId="5" xr:uid="{FA77B166-B08A-4425-9124-A86EEF1056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6.3341279185154267E-2"/>
          <c:y val="0.42120283767937639"/>
          <c:w val="0.90356668717909516"/>
          <c:h val="8.4583909726610909E-2"/>
        </c:manualLayout>
      </c:layout>
      <c:lineChart>
        <c:grouping val="standard"/>
        <c:varyColors val="0"/>
        <c:ser>
          <c:idx val="0"/>
          <c:order val="0"/>
          <c:tx>
            <c:strRef>
              <c:f>主翼細分計算!$AF$5</c:f>
              <c:strCache>
                <c:ptCount val="1"/>
                <c:pt idx="0">
                  <c:v>たわみ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主翼細分計算!$A$7:$A$89</c:f>
              <c:numCache>
                <c:formatCode>General</c:formatCode>
                <c:ptCount val="8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cat>
          <c:val>
            <c:numRef>
              <c:f>主翼細分計算!$AG$7:$AG$89</c:f>
              <c:numCache>
                <c:formatCode>General</c:formatCode>
                <c:ptCount val="8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3.4906585039886591</c:v>
                </c:pt>
                <c:pt idx="27">
                  <c:v>6.9813170079773181</c:v>
                </c:pt>
                <c:pt idx="28">
                  <c:v>10.471975511965978</c:v>
                </c:pt>
                <c:pt idx="29">
                  <c:v>13.962634015954636</c:v>
                </c:pt>
                <c:pt idx="30">
                  <c:v>17.453292519943297</c:v>
                </c:pt>
                <c:pt idx="31">
                  <c:v>20.943951023931955</c:v>
                </c:pt>
                <c:pt idx="32">
                  <c:v>24.434609527920617</c:v>
                </c:pt>
                <c:pt idx="33">
                  <c:v>27.925268031909276</c:v>
                </c:pt>
                <c:pt idx="34">
                  <c:v>31.415926535897935</c:v>
                </c:pt>
                <c:pt idx="35">
                  <c:v>34.906585039886593</c:v>
                </c:pt>
                <c:pt idx="36">
                  <c:v>38.397243543875248</c:v>
                </c:pt>
                <c:pt idx="37">
                  <c:v>41.887902047863903</c:v>
                </c:pt>
                <c:pt idx="38">
                  <c:v>45.378560551852559</c:v>
                </c:pt>
                <c:pt idx="39">
                  <c:v>48.869219055841221</c:v>
                </c:pt>
                <c:pt idx="40">
                  <c:v>52.359877559829876</c:v>
                </c:pt>
                <c:pt idx="41">
                  <c:v>55.850536063818531</c:v>
                </c:pt>
                <c:pt idx="42">
                  <c:v>59.341194567807193</c:v>
                </c:pt>
                <c:pt idx="43">
                  <c:v>62.831853071795855</c:v>
                </c:pt>
                <c:pt idx="44">
                  <c:v>66.322511575784517</c:v>
                </c:pt>
                <c:pt idx="45">
                  <c:v>69.813170079773187</c:v>
                </c:pt>
                <c:pt idx="46">
                  <c:v>73.303828583761842</c:v>
                </c:pt>
                <c:pt idx="47">
                  <c:v>76.794487087750511</c:v>
                </c:pt>
                <c:pt idx="48">
                  <c:v>80.28514559173918</c:v>
                </c:pt>
                <c:pt idx="49">
                  <c:v>83.775804095727835</c:v>
                </c:pt>
                <c:pt idx="50">
                  <c:v>87.266462599716505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CB-4942-A9F5-89484C5DD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1141759"/>
        <c:axId val="1769182847"/>
      </c:lineChart>
      <c:catAx>
        <c:axId val="1661141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69182847"/>
        <c:crosses val="autoZero"/>
        <c:auto val="1"/>
        <c:lblAlgn val="ctr"/>
        <c:lblOffset val="100"/>
        <c:noMultiLvlLbl val="0"/>
      </c:catAx>
      <c:valAx>
        <c:axId val="176918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1141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主翼細分計算!$AA$5</c:f>
              <c:strCache>
                <c:ptCount val="1"/>
                <c:pt idx="0">
                  <c:v>BMD[N・m]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主翼細分計算!$A$7:$A$89</c:f>
              <c:numCache>
                <c:formatCode>General</c:formatCode>
                <c:ptCount val="8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cat>
          <c:val>
            <c:numRef>
              <c:f>主翼細分計算!$AA$7:$AA$89</c:f>
              <c:numCache>
                <c:formatCode>General</c:formatCode>
                <c:ptCount val="83"/>
                <c:pt idx="0">
                  <c:v>0.10402984065150001</c:v>
                </c:pt>
                <c:pt idx="1">
                  <c:v>9.9395829815500006E-2</c:v>
                </c:pt>
                <c:pt idx="2">
                  <c:v>9.4872814203000005E-2</c:v>
                </c:pt>
                <c:pt idx="3">
                  <c:v>9.0460763851000006E-2</c:v>
                </c:pt>
                <c:pt idx="4">
                  <c:v>8.6159628709E-2</c:v>
                </c:pt>
                <c:pt idx="5">
                  <c:v>8.19693384355E-2</c:v>
                </c:pt>
                <c:pt idx="6">
                  <c:v>7.7889802110000003E-2</c:v>
                </c:pt>
                <c:pt idx="7">
                  <c:v>7.3920907857499996E-2</c:v>
                </c:pt>
                <c:pt idx="8">
                  <c:v>7.0062522380999998E-2</c:v>
                </c:pt>
                <c:pt idx="9">
                  <c:v>6.6314490396E-2</c:v>
                </c:pt>
                <c:pt idx="10">
                  <c:v>6.2676633903999995E-2</c:v>
                </c:pt>
                <c:pt idx="11">
                  <c:v>5.914875135299999E-2</c:v>
                </c:pt>
                <c:pt idx="12">
                  <c:v>5.5730616810499997E-2</c:v>
                </c:pt>
                <c:pt idx="13">
                  <c:v>5.2421978910999992E-2</c:v>
                </c:pt>
                <c:pt idx="14">
                  <c:v>4.9222559648999992E-2</c:v>
                </c:pt>
                <c:pt idx="15">
                  <c:v>4.6132052752499993E-2</c:v>
                </c:pt>
                <c:pt idx="16">
                  <c:v>4.3150122225499993E-2</c:v>
                </c:pt>
                <c:pt idx="17">
                  <c:v>4.0276400574499993E-2</c:v>
                </c:pt>
                <c:pt idx="18">
                  <c:v>3.7510486335500005E-2</c:v>
                </c:pt>
                <c:pt idx="19">
                  <c:v>3.4851941777500006E-2</c:v>
                </c:pt>
                <c:pt idx="20">
                  <c:v>3.2300289836500004E-2</c:v>
                </c:pt>
                <c:pt idx="21">
                  <c:v>2.9855010478500005E-2</c:v>
                </c:pt>
                <c:pt idx="22">
                  <c:v>2.7515536353000001E-2</c:v>
                </c:pt>
                <c:pt idx="23">
                  <c:v>2.5281247460999998E-2</c:v>
                </c:pt>
                <c:pt idx="24">
                  <c:v>2.3151463305000008E-2</c:v>
                </c:pt>
                <c:pt idx="25">
                  <c:v>2.1125432696000007E-2</c:v>
                </c:pt>
                <c:pt idx="26">
                  <c:v>1.9202313251000004E-2</c:v>
                </c:pt>
                <c:pt idx="27">
                  <c:v>1.7381135050500002E-2</c:v>
                </c:pt>
                <c:pt idx="28">
                  <c:v>1.5660828327000002E-2</c:v>
                </c:pt>
                <c:pt idx="29">
                  <c:v>1.40402431575E-2</c:v>
                </c:pt>
                <c:pt idx="30">
                  <c:v>1.2518159409499999E-2</c:v>
                </c:pt>
                <c:pt idx="31">
                  <c:v>1.1093293005999998E-2</c:v>
                </c:pt>
                <c:pt idx="32">
                  <c:v>9.764301242499997E-3</c:v>
                </c:pt>
                <c:pt idx="33">
                  <c:v>8.5297723944999966E-3</c:v>
                </c:pt>
                <c:pt idx="34">
                  <c:v>7.3882181384999947E-3</c:v>
                </c:pt>
                <c:pt idx="35">
                  <c:v>6.338066109000005E-3</c:v>
                </c:pt>
                <c:pt idx="36">
                  <c:v>5.3776508850000041E-3</c:v>
                </c:pt>
                <c:pt idx="37">
                  <c:v>4.5052032055000035E-3</c:v>
                </c:pt>
                <c:pt idx="38">
                  <c:v>3.7188368380000024E-3</c:v>
                </c:pt>
                <c:pt idx="39">
                  <c:v>3.0165311110000015E-3</c:v>
                </c:pt>
                <c:pt idx="40">
                  <c:v>2.3961102565000008E-3</c:v>
                </c:pt>
                <c:pt idx="41">
                  <c:v>1.8552161660000002E-3</c:v>
                </c:pt>
                <c:pt idx="42">
                  <c:v>1.3912716484999999E-3</c:v>
                </c:pt>
                <c:pt idx="43">
                  <c:v>1.0014332594999995E-3</c:v>
                </c:pt>
                <c:pt idx="44">
                  <c:v>6.8252328599999927E-4</c:v>
                </c:pt>
                <c:pt idx="45">
                  <c:v>4.30927331999999E-4</c:v>
                </c:pt>
                <c:pt idx="46">
                  <c:v>2.424695744999988E-4</c:v>
                </c:pt>
                <c:pt idx="47">
                  <c:v>1.1222660050000011E-4</c:v>
                </c:pt>
                <c:pt idx="48">
                  <c:v>3.4186911000000034E-5</c:v>
                </c:pt>
                <c:pt idx="49">
                  <c:v>5.6231700000000057E-7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B-4271-BA3F-AECA7EF2BE39}"/>
            </c:ext>
          </c:extLst>
        </c:ser>
        <c:ser>
          <c:idx val="1"/>
          <c:order val="1"/>
          <c:tx>
            <c:strRef>
              <c:f>主翼細分計算!$AU$5</c:f>
              <c:strCache>
                <c:ptCount val="1"/>
                <c:pt idx="0">
                  <c:v>縦BMD[N・m]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主翼細分計算!$A$7:$A$89</c:f>
              <c:numCache>
                <c:formatCode>General</c:formatCode>
                <c:ptCount val="8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cat>
          <c:val>
            <c:numRef>
              <c:f>主翼細分計算!$AU$7:$AU$89</c:f>
              <c:numCache>
                <c:formatCode>General</c:formatCode>
                <c:ptCount val="83"/>
                <c:pt idx="0">
                  <c:v>0.62417904390900003</c:v>
                </c:pt>
                <c:pt idx="1">
                  <c:v>0.59637497889300006</c:v>
                </c:pt>
                <c:pt idx="2">
                  <c:v>0.56923688521800009</c:v>
                </c:pt>
                <c:pt idx="3">
                  <c:v>0.54276458310600006</c:v>
                </c:pt>
                <c:pt idx="4">
                  <c:v>0.51695777225399997</c:v>
                </c:pt>
                <c:pt idx="5">
                  <c:v>0.491816030613</c:v>
                </c:pt>
                <c:pt idx="6">
                  <c:v>0.46733881265999999</c:v>
                </c:pt>
                <c:pt idx="7">
                  <c:v>0.44352544714499997</c:v>
                </c:pt>
                <c:pt idx="8">
                  <c:v>0.42037513428599999</c:v>
                </c:pt>
                <c:pt idx="9">
                  <c:v>0.39788694237599997</c:v>
                </c:pt>
                <c:pt idx="10">
                  <c:v>0.37605980342399997</c:v>
                </c:pt>
                <c:pt idx="11">
                  <c:v>0.35489250811799994</c:v>
                </c:pt>
                <c:pt idx="12">
                  <c:v>0.33438370086299996</c:v>
                </c:pt>
                <c:pt idx="13">
                  <c:v>0.31453187346599998</c:v>
                </c:pt>
                <c:pt idx="14">
                  <c:v>0.29533535789399995</c:v>
                </c:pt>
                <c:pt idx="15">
                  <c:v>0.27679231651499997</c:v>
                </c:pt>
                <c:pt idx="16">
                  <c:v>0.25890073335299996</c:v>
                </c:pt>
                <c:pt idx="17">
                  <c:v>0.24165840344699996</c:v>
                </c:pt>
                <c:pt idx="18">
                  <c:v>0.22506291801300005</c:v>
                </c:pt>
                <c:pt idx="19">
                  <c:v>0.20911165066500004</c:v>
                </c:pt>
                <c:pt idx="20">
                  <c:v>0.19380173901900002</c:v>
                </c:pt>
                <c:pt idx="21">
                  <c:v>0.17913006287100003</c:v>
                </c:pt>
                <c:pt idx="22">
                  <c:v>0.16509321811800001</c:v>
                </c:pt>
                <c:pt idx="23">
                  <c:v>0.151687484766</c:v>
                </c:pt>
                <c:pt idx="24">
                  <c:v>0.13890877983000005</c:v>
                </c:pt>
                <c:pt idx="25">
                  <c:v>0.12675259617600004</c:v>
                </c:pt>
                <c:pt idx="26">
                  <c:v>0.11521387950600002</c:v>
                </c:pt>
                <c:pt idx="27">
                  <c:v>0.10428681030300002</c:v>
                </c:pt>
                <c:pt idx="28">
                  <c:v>9.3964969962000017E-2</c:v>
                </c:pt>
                <c:pt idx="29">
                  <c:v>8.4241458945E-2</c:v>
                </c:pt>
                <c:pt idx="30">
                  <c:v>7.5108956456999998E-2</c:v>
                </c:pt>
                <c:pt idx="31">
                  <c:v>6.6559758035999991E-2</c:v>
                </c:pt>
                <c:pt idx="32">
                  <c:v>5.8585807454999986E-2</c:v>
                </c:pt>
                <c:pt idx="33">
                  <c:v>5.117863436699998E-2</c:v>
                </c:pt>
                <c:pt idx="34">
                  <c:v>4.4329308830999968E-2</c:v>
                </c:pt>
                <c:pt idx="35">
                  <c:v>3.8028396654000027E-2</c:v>
                </c:pt>
                <c:pt idx="36">
                  <c:v>3.2265905310000023E-2</c:v>
                </c:pt>
                <c:pt idx="37">
                  <c:v>2.7031219233000021E-2</c:v>
                </c:pt>
                <c:pt idx="38">
                  <c:v>2.2313021028000014E-2</c:v>
                </c:pt>
                <c:pt idx="39">
                  <c:v>1.8099186666000008E-2</c:v>
                </c:pt>
                <c:pt idx="40">
                  <c:v>1.4376661539000005E-2</c:v>
                </c:pt>
                <c:pt idx="41">
                  <c:v>1.1131296996000002E-2</c:v>
                </c:pt>
                <c:pt idx="42">
                  <c:v>8.347629891E-3</c:v>
                </c:pt>
                <c:pt idx="43">
                  <c:v>6.0085995569999972E-3</c:v>
                </c:pt>
                <c:pt idx="44">
                  <c:v>4.0951397159999956E-3</c:v>
                </c:pt>
                <c:pt idx="45">
                  <c:v>2.5855639919999942E-3</c:v>
                </c:pt>
                <c:pt idx="46">
                  <c:v>1.4548174469999928E-3</c:v>
                </c:pt>
                <c:pt idx="47">
                  <c:v>6.7335960300000074E-4</c:v>
                </c:pt>
                <c:pt idx="48">
                  <c:v>2.051214660000002E-4</c:v>
                </c:pt>
                <c:pt idx="49">
                  <c:v>3.3739020000000034E-6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26-42BA-94F5-AB0C72E77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1141759"/>
        <c:axId val="1769182847"/>
      </c:lineChart>
      <c:catAx>
        <c:axId val="1661141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69182847"/>
        <c:crosses val="autoZero"/>
        <c:auto val="1"/>
        <c:lblAlgn val="ctr"/>
        <c:lblOffset val="100"/>
        <c:noMultiLvlLbl val="0"/>
      </c:catAx>
      <c:valAx>
        <c:axId val="176918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1141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主翼細分計算!$AD$5</c:f>
              <c:strCache>
                <c:ptCount val="1"/>
                <c:pt idx="0">
                  <c:v>たわみ角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主翼細分計算!$A$7:$A$89</c:f>
              <c:numCache>
                <c:formatCode>General</c:formatCode>
                <c:ptCount val="8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cat>
          <c:val>
            <c:numRef>
              <c:f>主翼細分計算!$AE$7:$AE$89</c:f>
              <c:numCache>
                <c:formatCode>General</c:formatCode>
                <c:ptCount val="8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4F-4A31-9B93-ECBE01180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1141759"/>
        <c:axId val="1769182847"/>
      </c:lineChart>
      <c:catAx>
        <c:axId val="1661141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69182847"/>
        <c:crosses val="autoZero"/>
        <c:auto val="1"/>
        <c:lblAlgn val="ctr"/>
        <c:lblOffset val="100"/>
        <c:noMultiLvlLbl val="0"/>
      </c:catAx>
      <c:valAx>
        <c:axId val="1769182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1141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主翼細分計算!$A$7:$A$89</c:f>
              <c:numCache>
                <c:formatCode>General</c:formatCode>
                <c:ptCount val="83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</c:numCache>
            </c:numRef>
          </c:cat>
          <c:val>
            <c:numRef>
              <c:f>主翼細分計算!#REF!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主翼細分計算!#REF!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142-4418-AE22-F798EFB42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1141759"/>
        <c:axId val="1769182847"/>
      </c:lineChart>
      <c:catAx>
        <c:axId val="1661141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69182847"/>
        <c:crosses val="autoZero"/>
        <c:auto val="1"/>
        <c:lblAlgn val="ctr"/>
        <c:lblOffset val="100"/>
        <c:noMultiLvlLbl val="0"/>
      </c:catAx>
      <c:valAx>
        <c:axId val="1769182847"/>
        <c:scaling>
          <c:orientation val="minMax"/>
          <c:max val="3"/>
          <c:min val="1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1141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40479</xdr:colOff>
      <xdr:row>3</xdr:row>
      <xdr:rowOff>95249</xdr:rowOff>
    </xdr:from>
    <xdr:to>
      <xdr:col>30</xdr:col>
      <xdr:colOff>321468</xdr:colOff>
      <xdr:row>22</xdr:row>
      <xdr:rowOff>202405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590549</xdr:colOff>
      <xdr:row>1</xdr:row>
      <xdr:rowOff>66675</xdr:rowOff>
    </xdr:from>
    <xdr:to>
      <xdr:col>13</xdr:col>
      <xdr:colOff>428624</xdr:colOff>
      <xdr:row>13</xdr:row>
      <xdr:rowOff>200025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561975</xdr:colOff>
      <xdr:row>13</xdr:row>
      <xdr:rowOff>228600</xdr:rowOff>
    </xdr:from>
    <xdr:to>
      <xdr:col>20</xdr:col>
      <xdr:colOff>333375</xdr:colOff>
      <xdr:row>26</xdr:row>
      <xdr:rowOff>47625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581025</xdr:colOff>
      <xdr:row>1</xdr:row>
      <xdr:rowOff>0</xdr:rowOff>
    </xdr:from>
    <xdr:to>
      <xdr:col>20</xdr:col>
      <xdr:colOff>371475</xdr:colOff>
      <xdr:row>11</xdr:row>
      <xdr:rowOff>171450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190500</xdr:rowOff>
        </xdr:from>
        <xdr:to>
          <xdr:col>1</xdr:col>
          <xdr:colOff>571500</xdr:colOff>
          <xdr:row>3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結節点捜索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154781</xdr:colOff>
      <xdr:row>27</xdr:row>
      <xdr:rowOff>166687</xdr:rowOff>
    </xdr:from>
    <xdr:to>
      <xdr:col>21</xdr:col>
      <xdr:colOff>330993</xdr:colOff>
      <xdr:row>40</xdr:row>
      <xdr:rowOff>52926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8156" y="6596062"/>
          <a:ext cx="7772400" cy="298186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/&#36942;&#21435;&#12398;&#27231;&#20307;/Polaris&#35373;&#35336;&#12471;&#12540;&#12488;0617KANSEI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irCraft/Dropbox/2019/&#35373;&#35336;/&#31354;&#21147;&#35373;&#35336;/&#35373;&#35336;&#65288;Python&#65289;/&#35373;&#35336;&#65288;Python&#65289;/&#35373;&#35336;&#65288;Python&#65289;/&#35373;&#35336;&#65288;Python&#65289;/18&#23614;&#32764;&#35373;&#35336;&#12471;&#12540;&#12488;_040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/&#12379;&#12387;&#12369;&#12356;/&#35373;&#35336;&#36942;&#21435;&#12471;&#12540;&#12488;/2014mer/&#35373;&#35336;&#12471;&#12540;&#12488;1208&#33655;&#37325;&#35430;&#39443;&#29992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400aa6e18044647b/&#12489;&#12461;&#12517;&#12513;&#12531;&#12488;/&#12464;&#12521;&#12452;&#12480;&#12540;/21&#20195;&#27083;&#36896;&#35373;&#35336;20210115-0&#24375;&#2423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irCraft/Dropbox/2019/&#35373;&#35336;/&#31354;&#21147;&#35373;&#35336;/&#35373;&#35336;&#65288;Python&#65289;/&#35373;&#35336;&#65288;Python&#65289;/&#35373;&#35336;&#65288;Python&#65289;/&#35373;&#35336;&#65288;Python&#65289;/18&#31354;&#21147;&#35373;&#35336;&#12471;&#12540;&#12488;_0226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&#32724;&#21566;/Documents/02.AirCraft/16&#35373;&#35336;/&#32244;&#32722;/&#35430;&#20316;&#27231;_&#35373;&#35336;&#35611;&#32722;&#29992;_R%20-%20&#12467;&#12500;&#12540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/&#36942;&#21435;&#12398;&#27231;&#20307;/2013_Sirius_v10.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&#32724;&#21566;/Documents/02.AirCraft/16&#35373;&#35336;/&#35373;&#35336;Meteor&#9734;%20-%20&#12467;&#12500;&#12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"/>
      <sheetName val="WSmemo"/>
      <sheetName val="Sheet2"/>
      <sheetName val="P"/>
      <sheetName val="Est"/>
      <sheetName val="F"/>
      <sheetName val="Gir"/>
      <sheetName val="Sheet7"/>
      <sheetName val="Sheet8"/>
      <sheetName val="wsdata"/>
      <sheetName val="W"/>
      <sheetName val="LI2"/>
      <sheetName val="Base"/>
      <sheetName val="MW"/>
      <sheetName val="LI"/>
      <sheetName val="DwL2"/>
      <sheetName val="MWc"/>
      <sheetName val="MWL"/>
      <sheetName val="DwL"/>
      <sheetName val="MWR"/>
      <sheetName val="DwR"/>
      <sheetName val="DwR2"/>
      <sheetName val="舵角"/>
      <sheetName val="HL"/>
      <sheetName val="HC"/>
      <sheetName val="Sheet6"/>
      <sheetName val="PF"/>
      <sheetName val="PR"/>
      <sheetName val="HS"/>
      <sheetName val="VT"/>
      <sheetName val="Scadule"/>
      <sheetName val="HSc"/>
      <sheetName val="LIHS"/>
      <sheetName val="VTc"/>
      <sheetName val="LIVT"/>
      <sheetName val="W2"/>
      <sheetName val="Sheet4"/>
      <sheetName val="LC"/>
      <sheetName val="WM"/>
      <sheetName val="Strc"/>
      <sheetName val="LC比較"/>
      <sheetName val="Ac3"/>
      <sheetName val="CS"/>
      <sheetName val="CSc"/>
      <sheetName val="Sheet5"/>
      <sheetName val="wsL"/>
      <sheetName val="wsL2"/>
      <sheetName val="wsR"/>
      <sheetName val="wsR2"/>
      <sheetName val="wsHS"/>
      <sheetName val="wsVT"/>
      <sheetName val="Ac"/>
      <sheetName val="PPdata"/>
      <sheetName val="グラフ"/>
      <sheetName val="メモなど"/>
      <sheetName val="Sheet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Z2">
            <v>0</v>
          </cell>
        </row>
        <row r="5">
          <cell r="B5">
            <v>2</v>
          </cell>
        </row>
        <row r="11">
          <cell r="Q11">
            <v>1.5586018883674666E-5</v>
          </cell>
        </row>
        <row r="32">
          <cell r="AC32">
            <v>0</v>
          </cell>
        </row>
        <row r="33">
          <cell r="G33">
            <v>2100</v>
          </cell>
          <cell r="H33">
            <v>2100</v>
          </cell>
        </row>
        <row r="34">
          <cell r="G34">
            <v>3900</v>
          </cell>
          <cell r="H34">
            <v>6000</v>
          </cell>
        </row>
        <row r="35">
          <cell r="G35">
            <v>2600</v>
          </cell>
          <cell r="H35">
            <v>8600</v>
          </cell>
        </row>
        <row r="36">
          <cell r="G36">
            <v>1300</v>
          </cell>
          <cell r="H36">
            <v>9900</v>
          </cell>
        </row>
        <row r="44">
          <cell r="C44">
            <v>19800</v>
          </cell>
        </row>
        <row r="45">
          <cell r="C45">
            <v>35.339999965400068</v>
          </cell>
        </row>
        <row r="61">
          <cell r="L61">
            <v>0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2">
          <cell r="K2">
            <v>0.93181679999999989</v>
          </cell>
        </row>
        <row r="3">
          <cell r="K3">
            <v>2202</v>
          </cell>
        </row>
      </sheetData>
      <sheetData sheetId="29">
        <row r="2">
          <cell r="K2">
            <v>0.85395350150781268</v>
          </cell>
        </row>
        <row r="3">
          <cell r="K3">
            <v>1871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>
        <row r="7">
          <cell r="L7">
            <v>166.7</v>
          </cell>
        </row>
        <row r="15">
          <cell r="L15">
            <v>120</v>
          </cell>
        </row>
        <row r="27">
          <cell r="C27">
            <v>0.125</v>
          </cell>
        </row>
        <row r="55">
          <cell r="C55">
            <v>212.5</v>
          </cell>
          <cell r="D55">
            <v>15.285316659001397</v>
          </cell>
          <cell r="E55">
            <v>7.6</v>
          </cell>
        </row>
        <row r="57">
          <cell r="C57">
            <v>4.0999999999999996</v>
          </cell>
          <cell r="D57">
            <v>52.076395981602012</v>
          </cell>
          <cell r="E57">
            <v>4.0999999999999996</v>
          </cell>
        </row>
        <row r="58">
          <cell r="C58">
            <v>0.27500000000000002</v>
          </cell>
          <cell r="D58">
            <v>0.8640630071952905</v>
          </cell>
          <cell r="E58">
            <v>9.8352941176470601E-3</v>
          </cell>
        </row>
        <row r="59">
          <cell r="C59">
            <v>9.8352941176470584E-3</v>
          </cell>
          <cell r="D59">
            <v>0.86406300719528983</v>
          </cell>
          <cell r="E59">
            <v>0.27500000000000008</v>
          </cell>
        </row>
      </sheetData>
      <sheetData sheetId="53"/>
      <sheetData sheetId="54"/>
      <sheetData sheetId="55"/>
      <sheetData sheetId="5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WL"/>
      <sheetName val="MWR"/>
      <sheetName val="MW"/>
      <sheetName val="MWc"/>
      <sheetName val="wsdata"/>
      <sheetName val="HS"/>
      <sheetName val="VT"/>
      <sheetName val="Sheet1"/>
      <sheetName val="HSc"/>
      <sheetName val="VTc "/>
      <sheetName val="LIHS"/>
      <sheetName val="LIVT"/>
      <sheetName val="wsMW"/>
      <sheetName val="wsHS"/>
      <sheetName val="wsVT"/>
    </sheetNames>
    <sheetDataSet>
      <sheetData sheetId="0" refreshError="1">
        <row r="4">
          <cell r="C4">
            <v>8.8000000000000007</v>
          </cell>
        </row>
        <row r="7">
          <cell r="L7">
            <v>1.1843370740000001</v>
          </cell>
        </row>
        <row r="10">
          <cell r="L10">
            <v>1.5586018883674666E-5</v>
          </cell>
        </row>
        <row r="33">
          <cell r="C33">
            <v>719.32921229645683</v>
          </cell>
        </row>
        <row r="42">
          <cell r="C42">
            <v>28800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リブ間"/>
      <sheetName val="omosa"/>
      <sheetName val="Wing"/>
      <sheetName val="解析 70"/>
      <sheetName val="150"/>
      <sheetName val="150 c498"/>
      <sheetName val="Downwash"/>
      <sheetName val="Wing (上反)"/>
      <sheetName val="Dw 上反"/>
      <sheetName val="旋回"/>
      <sheetName val="エルロン"/>
      <sheetName val="近似式"/>
      <sheetName val="Dw (el)"/>
      <sheetName val="Dw(er)"/>
      <sheetName val="Dw (el') "/>
      <sheetName val="Dw (er')"/>
      <sheetName val="エルロン性能評価"/>
      <sheetName val="水平"/>
      <sheetName val="垂直"/>
      <sheetName val="Downwash(h)"/>
      <sheetName val="Downwash(ｖ) "/>
      <sheetName val="線形補間"/>
      <sheetName val="微係数"/>
      <sheetName val="構造Base"/>
      <sheetName val="メイン・てーる"/>
      <sheetName val="V3積層構成(new)"/>
      <sheetName val="ソルバー用"/>
      <sheetName val="Sheet2"/>
      <sheetName val="の理系三洋"/>
      <sheetName val="VI構造"/>
      <sheetName val="荷重試験"/>
      <sheetName val="荷重c0(０＋１をみよ）"/>
      <sheetName val="荷重1番(1+2を見よ)"/>
      <sheetName val="荷重2番"/>
      <sheetName val="荷重3番"/>
      <sheetName val="荷重c０+１番"/>
      <sheetName val="荷重1番⊹２番"/>
      <sheetName val="荷重2+3"/>
      <sheetName val="荷重全組"/>
      <sheetName val="SFD.BMD"/>
      <sheetName val="重し一覧"/>
      <sheetName val="荷重一覧"/>
      <sheetName val="VII重力考慮(未使用)"/>
      <sheetName val="重量翼ごと計算用"/>
      <sheetName val="プレぐりぶデータ"/>
      <sheetName val="たわみグラフ製作用シート"/>
      <sheetName val="たわみグラフ"/>
      <sheetName val="各種強度計算 (2)"/>
      <sheetName val="最終郷土判定"/>
      <sheetName val="重心重量見積もりとか "/>
      <sheetName val="上下曲げ剛性比較"/>
      <sheetName val="ねじり合成皮革"/>
      <sheetName val="ヨー合成皮革"/>
    </sheetNames>
    <sheetDataSet>
      <sheetData sheetId="0">
        <row r="20">
          <cell r="G20">
            <v>636.62682248213616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W_nutral"/>
      <sheetName val="MW_ailron"/>
      <sheetName val="MW"/>
      <sheetName val="運動包囲線"/>
      <sheetName val="MWc"/>
      <sheetName val="MaxT"/>
      <sheetName val="TI"/>
      <sheetName val="PMD "/>
      <sheetName val="一般構造素材物性"/>
      <sheetName val="設計製作の課題"/>
      <sheetName val="CsC"/>
      <sheetName val="CsI(19)"/>
      <sheetName val="断面データベース2020"/>
      <sheetName val="理想積層・重量概算"/>
      <sheetName val="StrC"/>
      <sheetName val="AC"/>
      <sheetName val="LC"/>
      <sheetName val="翼班データ"/>
      <sheetName val="FStrC"/>
      <sheetName val="MTStrC"/>
      <sheetName val="MTACⅠ"/>
      <sheetName val="MTACⅡ"/>
      <sheetName val="MTLC"/>
      <sheetName val="二次部材座屈設計"/>
      <sheetName val="dae11"/>
      <sheetName val="2_7_0_003hT2NACA_30"/>
      <sheetName val="foil_end"/>
      <sheetName val="foil_end2_ver2"/>
      <sheetName val="tp_2x244_25"/>
      <sheetName val="tp_2x244_40"/>
      <sheetName val="tp_2x244_112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3">
          <cell r="F23">
            <v>0.105</v>
          </cell>
        </row>
        <row r="37">
          <cell r="F37">
            <v>213.07630874565444</v>
          </cell>
          <cell r="H37">
            <v>60.322064147618114</v>
          </cell>
        </row>
        <row r="38">
          <cell r="F38">
            <v>7.6206115127857581</v>
          </cell>
          <cell r="H38">
            <v>60.322064147618072</v>
          </cell>
        </row>
        <row r="39">
          <cell r="F39">
            <v>2.0956681660160839</v>
          </cell>
          <cell r="H39">
            <v>52.12206414761809</v>
          </cell>
        </row>
        <row r="40">
          <cell r="F40">
            <v>4.0999999999999996</v>
          </cell>
          <cell r="H40">
            <v>52.076395981602012</v>
          </cell>
        </row>
        <row r="48">
          <cell r="F48">
            <v>251.52857142857101</v>
          </cell>
          <cell r="H48">
            <v>15.285316659001397</v>
          </cell>
          <cell r="J48">
            <v>7.6</v>
          </cell>
        </row>
        <row r="50">
          <cell r="F50">
            <v>4.0999999999999996</v>
          </cell>
          <cell r="H50">
            <v>52.076395981602012</v>
          </cell>
          <cell r="J50">
            <v>4.0999999999999996</v>
          </cell>
        </row>
        <row r="51">
          <cell r="F51">
            <v>0.27500000000000002</v>
          </cell>
          <cell r="H51">
            <v>0.8640630071952905</v>
          </cell>
          <cell r="J51">
            <v>9.8352941176470601E-3</v>
          </cell>
        </row>
        <row r="52">
          <cell r="F52">
            <v>9.8352941176470584E-3</v>
          </cell>
          <cell r="H52">
            <v>0.86406300719528983</v>
          </cell>
          <cell r="J52">
            <v>0.27500000000000008</v>
          </cell>
        </row>
        <row r="56">
          <cell r="G56">
            <v>0.155</v>
          </cell>
        </row>
        <row r="59">
          <cell r="G59">
            <v>1340</v>
          </cell>
        </row>
        <row r="60">
          <cell r="G60">
            <v>71.428571428571431</v>
          </cell>
        </row>
        <row r="61">
          <cell r="G61">
            <v>202.38095238095201</v>
          </cell>
        </row>
        <row r="62">
          <cell r="G62">
            <v>142.85714285714286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11">
          <cell r="E11">
            <v>10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pt"/>
      <sheetName val="Base"/>
      <sheetName val="MWL"/>
      <sheetName val="MWR"/>
      <sheetName val="MW"/>
      <sheetName val="MWc"/>
      <sheetName val="SSS"/>
      <sheetName val="DwL"/>
      <sheetName val="DwR"/>
      <sheetName val="LIMW"/>
      <sheetName val="Rp"/>
      <sheetName val="wsMW"/>
      <sheetName val="wsHS"/>
      <sheetName val="wsVT"/>
      <sheetName val="wsdata"/>
    </sheetNames>
    <sheetDataSet>
      <sheetData sheetId="0"/>
      <sheetData sheetId="1" refreshError="1">
        <row r="41">
          <cell r="C41">
            <v>20.02913533080994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inWing"/>
      <sheetName val="吹きおろし"/>
      <sheetName val="線形補間"/>
      <sheetName val="Sheet1"/>
      <sheetName val="Sheet2"/>
      <sheetName val="Sheet3"/>
      <sheetName val="プリプレグデータ"/>
    </sheetNames>
    <sheetDataSet>
      <sheetData sheetId="0">
        <row r="14">
          <cell r="G14">
            <v>1800</v>
          </cell>
        </row>
        <row r="15">
          <cell r="G15">
            <v>5300</v>
          </cell>
        </row>
        <row r="16">
          <cell r="G16">
            <v>8600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重量記入"/>
      <sheetName val="重量見積もり"/>
      <sheetName val="Sheet1"/>
      <sheetName val="諸元"/>
      <sheetName val="Base"/>
      <sheetName val="密度・粘度"/>
      <sheetName val="MainWing"/>
      <sheetName val="りぶ間"/>
      <sheetName val="水平"/>
      <sheetName val="垂直"/>
      <sheetName val="エルロン性能評価"/>
      <sheetName val="エルロン"/>
      <sheetName val="美係数とか"/>
      <sheetName val="地面効果etc..."/>
      <sheetName val="Downwash"/>
      <sheetName val="Downwash (エルロン)"/>
      <sheetName val="線形補間"/>
      <sheetName val="翼形データ"/>
      <sheetName val="線形補間 (エルロン)"/>
      <sheetName val="XFLR解析値"/>
      <sheetName val="プリプレグデータ"/>
      <sheetName val="メイン・テール"/>
      <sheetName val="積層構成"/>
      <sheetName val="桁重量込"/>
      <sheetName val="ねじれグラフ"/>
      <sheetName val="エルロンデータ"/>
      <sheetName val="構造"/>
      <sheetName val="各種強度計算"/>
      <sheetName val="たわみ"/>
      <sheetName val="最終強度判定"/>
      <sheetName val="翼重量込"/>
      <sheetName val="自重たわみ"/>
      <sheetName val="ねじり剛性比"/>
      <sheetName val="ヨー剛性比"/>
      <sheetName val="上下剛性比"/>
      <sheetName val="c0"/>
      <sheetName val="1番"/>
      <sheetName val="2番"/>
      <sheetName val="3番"/>
    </sheetNames>
    <sheetDataSet>
      <sheetData sheetId="0"/>
      <sheetData sheetId="1"/>
      <sheetData sheetId="2"/>
      <sheetData sheetId="3"/>
      <sheetData sheetId="4">
        <row r="17">
          <cell r="I17">
            <v>9500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重量"/>
      <sheetName val="諸元"/>
      <sheetName val="ペラデータ"/>
      <sheetName val="Base"/>
      <sheetName val="主翼"/>
      <sheetName val="エルロン"/>
      <sheetName val="リブ"/>
      <sheetName val="垂直"/>
      <sheetName val="水平"/>
      <sheetName val="上反"/>
      <sheetName val="エル評価"/>
      <sheetName val="翼型近似式"/>
      <sheetName val="構造Base"/>
      <sheetName val="積層構成"/>
      <sheetName val="構造計算 (重力込み)"/>
      <sheetName val="構造計算 (リブ重量込み)"/>
      <sheetName val="線形補間"/>
      <sheetName val="Dw"/>
      <sheetName val="Dw(el)＋"/>
      <sheetName val="Dw(el)ー"/>
      <sheetName val="上反Dw+"/>
      <sheetName val="上反Dwー"/>
      <sheetName val="上反Dw(el)＋"/>
      <sheetName val="上反Dw(el)ー"/>
      <sheetName val="Dw(垂直下)"/>
      <sheetName val="Dw(垂直上)"/>
      <sheetName val="Dw(水平)"/>
      <sheetName val="XFLR"/>
      <sheetName val="SFD.BMD"/>
      <sheetName val="のり計算シート"/>
      <sheetName val="桁重量計算"/>
      <sheetName val="座屈強度"/>
      <sheetName val="構造計算"/>
      <sheetName val="曲げ・ひずみ強度"/>
      <sheetName val="座屈強度 （重力込み）"/>
      <sheetName val="曲げ・ひずみ強度 （重力込み）"/>
      <sheetName val="プレグリブデータ"/>
      <sheetName val="上下曲げ剛性比較"/>
      <sheetName val="前後曲げ剛性比較"/>
      <sheetName val="ねじり剛性比較"/>
      <sheetName val="上反角比較"/>
      <sheetName val="捻じれ角比較"/>
      <sheetName val="たわみグラフ"/>
    </sheetNames>
    <sheetDataSet>
      <sheetData sheetId="0"/>
      <sheetData sheetId="1"/>
      <sheetData sheetId="2"/>
      <sheetData sheetId="3">
        <row r="17">
          <cell r="L17">
            <v>10200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E04A8-F76D-4AB6-BA90-4ECD7A101E02}">
  <sheetPr>
    <tabColor rgb="FFFF0000"/>
  </sheetPr>
  <dimension ref="A1:J20"/>
  <sheetViews>
    <sheetView topLeftCell="A7" workbookViewId="0">
      <selection activeCell="A12" sqref="A12"/>
    </sheetView>
  </sheetViews>
  <sheetFormatPr baseColWidth="10" defaultColWidth="8.83203125" defaultRowHeight="17"/>
  <sheetData>
    <row r="1" spans="1:10">
      <c r="A1" s="95" t="s">
        <v>223</v>
      </c>
      <c r="B1" s="95"/>
      <c r="C1" s="95"/>
      <c r="D1" s="95"/>
      <c r="E1" s="95"/>
      <c r="F1" s="95"/>
      <c r="G1" s="95"/>
      <c r="H1" s="95"/>
      <c r="I1" s="95"/>
      <c r="J1" s="95"/>
    </row>
    <row r="2" spans="1:10">
      <c r="A2" s="95"/>
      <c r="B2" s="95"/>
      <c r="C2" s="95"/>
      <c r="D2" s="95"/>
      <c r="E2" s="95"/>
      <c r="F2" s="95"/>
      <c r="G2" s="95"/>
      <c r="H2" s="95"/>
      <c r="I2" s="95"/>
      <c r="J2" s="95"/>
    </row>
    <row r="3" spans="1:10">
      <c r="A3" s="95"/>
      <c r="B3" s="95"/>
      <c r="C3" s="95"/>
      <c r="D3" s="95"/>
      <c r="E3" s="95"/>
      <c r="F3" s="95"/>
      <c r="G3" s="95"/>
      <c r="H3" s="95"/>
      <c r="I3" s="95"/>
      <c r="J3" s="95"/>
    </row>
    <row r="4" spans="1:10">
      <c r="A4" s="95"/>
      <c r="B4" s="95"/>
      <c r="C4" s="95"/>
      <c r="D4" s="95"/>
      <c r="E4" s="95"/>
      <c r="F4" s="95"/>
      <c r="G4" s="95"/>
      <c r="H4" s="95"/>
      <c r="I4" s="95"/>
      <c r="J4" s="95"/>
    </row>
    <row r="5" spans="1:10">
      <c r="A5" s="95"/>
      <c r="B5" s="95"/>
      <c r="C5" s="95"/>
      <c r="D5" s="95"/>
      <c r="E5" s="95"/>
      <c r="F5" s="95"/>
      <c r="G5" s="95"/>
      <c r="H5" s="95"/>
      <c r="I5" s="95"/>
      <c r="J5" s="95"/>
    </row>
    <row r="6" spans="1:10">
      <c r="A6" s="95"/>
      <c r="B6" s="95"/>
      <c r="C6" s="95"/>
      <c r="D6" s="95"/>
      <c r="E6" s="95"/>
      <c r="F6" s="95"/>
      <c r="G6" s="95"/>
      <c r="H6" s="95"/>
      <c r="I6" s="95"/>
      <c r="J6" s="95"/>
    </row>
    <row r="7" spans="1:10">
      <c r="A7" s="95"/>
      <c r="B7" s="95"/>
      <c r="C7" s="95"/>
      <c r="D7" s="95"/>
      <c r="E7" s="95"/>
      <c r="F7" s="95"/>
      <c r="G7" s="95"/>
      <c r="H7" s="95"/>
      <c r="I7" s="95"/>
      <c r="J7" s="95"/>
    </row>
    <row r="9" spans="1:10" ht="59">
      <c r="A9" s="58" t="s">
        <v>224</v>
      </c>
    </row>
    <row r="10" spans="1:10" ht="45">
      <c r="A10" s="59" t="s">
        <v>225</v>
      </c>
    </row>
    <row r="11" spans="1:10" ht="41">
      <c r="A11" s="57" t="s">
        <v>227</v>
      </c>
    </row>
    <row r="12" spans="1:10" ht="45">
      <c r="A12" s="59" t="s">
        <v>231</v>
      </c>
    </row>
    <row r="13" spans="1:10" ht="45">
      <c r="A13" s="59" t="s">
        <v>229</v>
      </c>
    </row>
    <row r="14" spans="1:10" ht="45">
      <c r="A14" s="59" t="s">
        <v>230</v>
      </c>
    </row>
    <row r="15" spans="1:10">
      <c r="A15" s="60"/>
    </row>
    <row r="16" spans="1:10" ht="59">
      <c r="A16" s="58" t="s">
        <v>226</v>
      </c>
    </row>
    <row r="18" spans="1:1" ht="59">
      <c r="A18" s="58" t="s">
        <v>228</v>
      </c>
    </row>
    <row r="20" spans="1:1" ht="59">
      <c r="A20" s="58" t="s">
        <v>228</v>
      </c>
    </row>
  </sheetData>
  <mergeCells count="1">
    <mergeCell ref="A1:J7"/>
  </mergeCells>
  <phoneticPr fontId="4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387D0-E9C0-45C5-BEAF-102D2459D4E9}">
  <dimension ref="A1:T42"/>
  <sheetViews>
    <sheetView topLeftCell="D1" zoomScale="84" zoomScaleNormal="85" workbookViewId="0">
      <selection activeCell="U13" sqref="U13"/>
    </sheetView>
  </sheetViews>
  <sheetFormatPr baseColWidth="10" defaultColWidth="8.83203125" defaultRowHeight="17"/>
  <cols>
    <col min="1" max="1" width="25.1640625" bestFit="1" customWidth="1"/>
    <col min="15" max="15" width="20" bestFit="1" customWidth="1"/>
    <col min="17" max="17" width="17.83203125" bestFit="1" customWidth="1"/>
  </cols>
  <sheetData>
    <row r="1" spans="1:20">
      <c r="A1" t="s">
        <v>239</v>
      </c>
      <c r="D1" s="89" t="s">
        <v>508</v>
      </c>
      <c r="Q1" t="s">
        <v>222</v>
      </c>
    </row>
    <row r="2" spans="1:20">
      <c r="A2" t="s">
        <v>233</v>
      </c>
      <c r="B2">
        <v>1</v>
      </c>
      <c r="Q2" s="52">
        <f>COUNT(Q4:Q60)</f>
        <v>11</v>
      </c>
    </row>
    <row r="3" spans="1:20">
      <c r="A3" t="s">
        <v>234</v>
      </c>
      <c r="B3">
        <v>0.23</v>
      </c>
      <c r="D3" s="54" t="s">
        <v>218</v>
      </c>
      <c r="E3" s="54" t="s">
        <v>219</v>
      </c>
      <c r="G3" s="54" t="s">
        <v>220</v>
      </c>
      <c r="I3" s="61" t="s">
        <v>240</v>
      </c>
      <c r="J3" s="61" t="s">
        <v>241</v>
      </c>
      <c r="K3" s="61" t="s">
        <v>242</v>
      </c>
      <c r="L3" s="61" t="s">
        <v>243</v>
      </c>
      <c r="M3" s="61"/>
      <c r="N3" s="78" t="s">
        <v>220</v>
      </c>
      <c r="O3" s="61"/>
      <c r="Q3" t="s">
        <v>221</v>
      </c>
    </row>
    <row r="4" spans="1:20">
      <c r="A4" t="s">
        <v>235</v>
      </c>
      <c r="B4">
        <v>0.23</v>
      </c>
      <c r="D4" s="56">
        <v>1</v>
      </c>
      <c r="E4" s="56">
        <v>8.4999999999999995E-4</v>
      </c>
      <c r="G4" s="56">
        <f>COUNT(D4:D236)</f>
        <v>33</v>
      </c>
      <c r="I4" s="56">
        <v>0</v>
      </c>
      <c r="J4" s="56">
        <v>0</v>
      </c>
      <c r="K4" s="56">
        <v>0</v>
      </c>
      <c r="L4" s="56">
        <v>0</v>
      </c>
      <c r="M4" s="54"/>
      <c r="N4" s="61">
        <f>COUNT(I4:I236)</f>
        <v>17</v>
      </c>
      <c r="O4" s="54">
        <f>COUNT(K4:K236)</f>
        <v>17</v>
      </c>
      <c r="Q4" s="94">
        <v>0</v>
      </c>
      <c r="S4" t="s">
        <v>51</v>
      </c>
      <c r="T4">
        <v>20</v>
      </c>
    </row>
    <row r="5" spans="1:20">
      <c r="A5" t="s">
        <v>236</v>
      </c>
      <c r="B5">
        <v>0.17</v>
      </c>
      <c r="D5" s="56">
        <v>0.94986000000000004</v>
      </c>
      <c r="E5" s="56">
        <v>1.259E-2</v>
      </c>
      <c r="I5" s="56">
        <v>1.2330000000000001E-2</v>
      </c>
      <c r="J5" s="56">
        <v>1.5140000000000001E-2</v>
      </c>
      <c r="K5" s="56">
        <v>1.2619999999999999E-2</v>
      </c>
      <c r="L5" s="56">
        <v>-1.076E-2</v>
      </c>
      <c r="M5" s="54"/>
      <c r="N5" s="61"/>
      <c r="O5" s="54"/>
      <c r="Q5" s="52">
        <v>50</v>
      </c>
      <c r="S5" t="s">
        <v>509</v>
      </c>
      <c r="T5">
        <f>Q5*TAN(RADIANS(T4))</f>
        <v>18.198511713310118</v>
      </c>
    </row>
    <row r="6" spans="1:20">
      <c r="A6" t="s">
        <v>237</v>
      </c>
      <c r="B6">
        <v>0.25</v>
      </c>
      <c r="D6" s="56">
        <v>0.89975000000000005</v>
      </c>
      <c r="E6" s="56">
        <v>2.2030000000000001E-2</v>
      </c>
      <c r="I6" s="56">
        <v>2.4719999999999999E-2</v>
      </c>
      <c r="J6" s="56">
        <v>2.538E-2</v>
      </c>
      <c r="K6" s="56">
        <v>2.513E-2</v>
      </c>
      <c r="L6" s="56">
        <v>-1.172E-2</v>
      </c>
      <c r="M6" s="54"/>
      <c r="N6" s="61"/>
      <c r="O6" s="54"/>
      <c r="Q6" s="52">
        <f>Q5+50</f>
        <v>100</v>
      </c>
    </row>
    <row r="7" spans="1:20">
      <c r="A7" t="s">
        <v>232</v>
      </c>
      <c r="B7">
        <v>5</v>
      </c>
      <c r="D7" s="56">
        <v>0.79956000000000005</v>
      </c>
      <c r="E7" s="56">
        <v>3.9820000000000001E-2</v>
      </c>
      <c r="I7" s="56">
        <v>4.9549999999999997E-2</v>
      </c>
      <c r="J7" s="56">
        <v>3.9949999999999999E-2</v>
      </c>
      <c r="K7" s="56">
        <v>5.0090000000000003E-2</v>
      </c>
      <c r="L7" s="56">
        <v>-8.0400000000000003E-3</v>
      </c>
      <c r="M7" s="54"/>
      <c r="N7" s="61"/>
      <c r="O7" s="54"/>
      <c r="Q7" s="94">
        <f t="shared" ref="Q7:Q12" si="0">Q6+50</f>
        <v>150</v>
      </c>
    </row>
    <row r="8" spans="1:20">
      <c r="A8" t="s">
        <v>238</v>
      </c>
      <c r="B8">
        <f>荷重解析!D1</f>
        <v>0.39137681623824766</v>
      </c>
      <c r="D8" s="56">
        <v>0.69938</v>
      </c>
      <c r="E8" s="56">
        <v>5.5800000000000002E-2</v>
      </c>
      <c r="I8" s="56">
        <v>7.4440000000000006E-2</v>
      </c>
      <c r="J8" s="56">
        <v>5.0529999999999999E-2</v>
      </c>
      <c r="K8" s="56">
        <v>7.5039999999999996E-2</v>
      </c>
      <c r="L8" s="56">
        <v>-3.7599999999999999E-3</v>
      </c>
      <c r="M8" s="54"/>
      <c r="N8" s="61"/>
      <c r="O8" s="54"/>
      <c r="Q8" s="52">
        <f t="shared" si="0"/>
        <v>200</v>
      </c>
    </row>
    <row r="9" spans="1:20">
      <c r="A9" t="s">
        <v>510</v>
      </c>
      <c r="B9">
        <v>3.9</v>
      </c>
      <c r="D9" s="56">
        <v>0.59924999999999995</v>
      </c>
      <c r="E9" s="56">
        <v>6.7580000000000001E-2</v>
      </c>
      <c r="I9" s="56">
        <v>9.9330000000000002E-2</v>
      </c>
      <c r="J9" s="56">
        <v>6.0109999999999997E-2</v>
      </c>
      <c r="K9" s="56">
        <v>9.9989999999999996E-2</v>
      </c>
      <c r="L9" s="56">
        <v>5.1000000000000004E-4</v>
      </c>
      <c r="M9" s="54"/>
      <c r="N9" s="61"/>
      <c r="O9" s="54"/>
      <c r="Q9" s="94">
        <f t="shared" si="0"/>
        <v>250</v>
      </c>
    </row>
    <row r="10" spans="1:20">
      <c r="A10" t="s">
        <v>511</v>
      </c>
      <c r="B10">
        <v>20</v>
      </c>
      <c r="D10" s="56">
        <v>0.49914999999999998</v>
      </c>
      <c r="E10" s="56">
        <v>7.6469999999999996E-2</v>
      </c>
      <c r="I10" s="56">
        <v>0.14921999999999999</v>
      </c>
      <c r="J10" s="56">
        <v>6.966E-2</v>
      </c>
      <c r="K10" s="56">
        <v>0.14992</v>
      </c>
      <c r="L10" s="56">
        <v>7.3699999999999998E-3</v>
      </c>
      <c r="M10" s="54"/>
      <c r="N10" s="54"/>
      <c r="O10" s="54"/>
      <c r="Q10" s="52">
        <f t="shared" si="0"/>
        <v>300</v>
      </c>
    </row>
    <row r="11" spans="1:20">
      <c r="D11" s="56">
        <v>0.39910000000000001</v>
      </c>
      <c r="E11" s="56">
        <v>8.1049999999999997E-2</v>
      </c>
      <c r="I11" s="56">
        <v>0.19914999999999999</v>
      </c>
      <c r="J11" s="56">
        <v>7.5920000000000001E-2</v>
      </c>
      <c r="K11" s="56">
        <v>0.19985</v>
      </c>
      <c r="L11" s="56">
        <v>1.3129999999999999E-2</v>
      </c>
      <c r="M11" s="54"/>
      <c r="N11" s="54"/>
      <c r="O11" s="54"/>
      <c r="Q11" s="94">
        <f t="shared" si="0"/>
        <v>350</v>
      </c>
    </row>
    <row r="12" spans="1:20">
      <c r="D12" s="56">
        <v>0.29909000000000002</v>
      </c>
      <c r="E12" s="56">
        <v>8.1530000000000005E-2</v>
      </c>
      <c r="I12" s="56">
        <v>0.29909000000000002</v>
      </c>
      <c r="J12" s="56">
        <v>8.1530000000000005E-2</v>
      </c>
      <c r="K12" s="56">
        <v>0.29977999999999999</v>
      </c>
      <c r="L12" s="56">
        <v>1.934E-2</v>
      </c>
      <c r="M12" s="54"/>
      <c r="N12" s="54"/>
      <c r="O12" s="54"/>
      <c r="Q12" s="52">
        <f t="shared" si="0"/>
        <v>400</v>
      </c>
    </row>
    <row r="13" spans="1:20">
      <c r="D13" s="56">
        <v>0.19914999999999999</v>
      </c>
      <c r="E13" s="56">
        <v>7.5920000000000001E-2</v>
      </c>
      <c r="I13" s="56">
        <v>0.39910000000000001</v>
      </c>
      <c r="J13" s="56">
        <v>8.1049999999999997E-2</v>
      </c>
      <c r="K13" s="56">
        <v>0.39977000000000001</v>
      </c>
      <c r="L13" s="56">
        <v>2.1340000000000001E-2</v>
      </c>
      <c r="M13" s="54">
        <f>J13-L13</f>
        <v>5.9709999999999999E-2</v>
      </c>
      <c r="N13" s="54"/>
      <c r="O13" s="61"/>
      <c r="Q13" s="52">
        <v>450</v>
      </c>
    </row>
    <row r="14" spans="1:20">
      <c r="D14" s="56">
        <v>0.14921999999999999</v>
      </c>
      <c r="E14" s="56">
        <v>6.966E-2</v>
      </c>
      <c r="I14" s="56">
        <v>0.49914999999999998</v>
      </c>
      <c r="J14" s="56">
        <v>7.6469999999999996E-2</v>
      </c>
      <c r="K14" s="56">
        <v>0.49975000000000003</v>
      </c>
      <c r="L14" s="56">
        <v>2.2169999999999999E-2</v>
      </c>
      <c r="M14" s="54"/>
      <c r="N14" s="54"/>
      <c r="O14" s="54"/>
      <c r="Q14" s="94">
        <v>500</v>
      </c>
    </row>
    <row r="15" spans="1:20">
      <c r="D15" s="56">
        <v>9.9330000000000002E-2</v>
      </c>
      <c r="E15" s="56">
        <v>6.0109999999999997E-2</v>
      </c>
      <c r="I15" s="56">
        <v>0.59924999999999995</v>
      </c>
      <c r="J15" s="56">
        <v>6.7580000000000001E-2</v>
      </c>
      <c r="K15" s="56">
        <v>0.59977000000000003</v>
      </c>
      <c r="L15" s="56">
        <v>2.0389999999999998E-2</v>
      </c>
      <c r="M15" s="54"/>
      <c r="N15" s="54"/>
      <c r="O15" s="54"/>
      <c r="Q15" s="52"/>
    </row>
    <row r="16" spans="1:20">
      <c r="D16" s="56">
        <v>7.4440000000000006E-2</v>
      </c>
      <c r="E16" s="56">
        <v>5.0529999999999999E-2</v>
      </c>
      <c r="I16" s="56">
        <v>0.69938</v>
      </c>
      <c r="J16" s="56">
        <v>5.5800000000000002E-2</v>
      </c>
      <c r="K16" s="56">
        <v>0.69982</v>
      </c>
      <c r="L16" s="56">
        <v>1.61E-2</v>
      </c>
      <c r="M16" s="54"/>
      <c r="N16" s="54"/>
      <c r="O16" s="54"/>
      <c r="Q16" s="52"/>
    </row>
    <row r="17" spans="4:17">
      <c r="D17" s="56">
        <v>4.9549999999999997E-2</v>
      </c>
      <c r="E17" s="56">
        <v>3.9949999999999999E-2</v>
      </c>
      <c r="I17" s="56">
        <v>0.79956000000000005</v>
      </c>
      <c r="J17" s="56">
        <v>3.9820000000000001E-2</v>
      </c>
      <c r="K17" s="56">
        <v>0.79988000000000004</v>
      </c>
      <c r="L17" s="56">
        <v>1.1220000000000001E-2</v>
      </c>
      <c r="M17" s="54"/>
      <c r="N17" s="54"/>
      <c r="O17" s="54"/>
      <c r="Q17" s="52"/>
    </row>
    <row r="18" spans="4:17">
      <c r="D18" s="56">
        <v>2.4719999999999999E-2</v>
      </c>
      <c r="E18" s="56">
        <v>2.538E-2</v>
      </c>
      <c r="I18" s="56">
        <v>0.89975000000000005</v>
      </c>
      <c r="J18" s="56">
        <v>2.2030000000000001E-2</v>
      </c>
      <c r="K18" s="56">
        <v>0.89993999999999996</v>
      </c>
      <c r="L18" s="56">
        <v>5.0299999999999997E-3</v>
      </c>
      <c r="M18" s="54"/>
      <c r="N18" s="54"/>
      <c r="O18" s="54"/>
      <c r="Q18" s="52"/>
    </row>
    <row r="19" spans="4:17">
      <c r="D19" s="56">
        <v>1.2330000000000001E-2</v>
      </c>
      <c r="E19" s="56">
        <v>1.5140000000000001E-2</v>
      </c>
      <c r="I19" s="56">
        <v>0.94986000000000004</v>
      </c>
      <c r="J19" s="56">
        <v>1.259E-2</v>
      </c>
      <c r="K19" s="56">
        <v>0.94998000000000005</v>
      </c>
      <c r="L19" s="56">
        <v>2.0899999999999998E-3</v>
      </c>
      <c r="M19" s="54"/>
      <c r="N19" s="54"/>
      <c r="O19" s="54"/>
      <c r="Q19" s="52"/>
    </row>
    <row r="20" spans="4:17">
      <c r="D20" s="56">
        <v>0</v>
      </c>
      <c r="E20" s="56">
        <v>0</v>
      </c>
      <c r="I20" s="56">
        <v>1</v>
      </c>
      <c r="J20" s="56">
        <v>8.4999999999999995E-4</v>
      </c>
      <c r="K20" s="56">
        <v>1</v>
      </c>
      <c r="L20" s="56">
        <v>-8.4999999999999995E-4</v>
      </c>
      <c r="M20" s="54"/>
      <c r="N20" s="54"/>
      <c r="O20" s="54"/>
      <c r="Q20" s="52"/>
    </row>
    <row r="21" spans="4:17">
      <c r="D21" s="56">
        <v>1.2619999999999999E-2</v>
      </c>
      <c r="E21" s="56">
        <v>-1.076E-2</v>
      </c>
      <c r="I21" s="56"/>
      <c r="J21" s="56"/>
      <c r="K21" s="56"/>
      <c r="L21" s="56"/>
      <c r="M21" s="54"/>
      <c r="N21" s="54"/>
      <c r="O21" s="54"/>
      <c r="Q21" s="52"/>
    </row>
    <row r="22" spans="4:17">
      <c r="D22" s="56">
        <v>2.513E-2</v>
      </c>
      <c r="E22" s="56">
        <v>-1.172E-2</v>
      </c>
      <c r="I22" s="56"/>
      <c r="J22" s="56"/>
      <c r="K22" s="56"/>
      <c r="L22" s="56"/>
      <c r="M22" s="54"/>
      <c r="N22" s="54"/>
      <c r="O22" s="54"/>
      <c r="Q22" s="52"/>
    </row>
    <row r="23" spans="4:17">
      <c r="D23" s="56">
        <v>5.0090000000000003E-2</v>
      </c>
      <c r="E23" s="56">
        <v>-8.0400000000000003E-3</v>
      </c>
      <c r="I23" s="56"/>
      <c r="J23" s="56"/>
      <c r="K23" s="56"/>
      <c r="L23" s="56"/>
      <c r="M23" s="54"/>
      <c r="N23" s="54"/>
      <c r="O23" s="54"/>
      <c r="Q23" s="52"/>
    </row>
    <row r="24" spans="4:17">
      <c r="D24" s="56">
        <v>7.5039999999999996E-2</v>
      </c>
      <c r="E24" s="56">
        <v>-3.7599999999999999E-3</v>
      </c>
      <c r="I24" s="56"/>
      <c r="J24" s="56"/>
      <c r="K24" s="56"/>
      <c r="L24" s="56"/>
      <c r="M24" s="54"/>
      <c r="N24" s="54"/>
      <c r="O24" s="54"/>
      <c r="Q24" s="52"/>
    </row>
    <row r="25" spans="4:17">
      <c r="D25" s="56">
        <v>9.9989999999999996E-2</v>
      </c>
      <c r="E25" s="56">
        <v>5.1000000000000004E-4</v>
      </c>
      <c r="I25" s="56"/>
      <c r="J25" s="56"/>
      <c r="K25" s="56"/>
      <c r="L25" s="56"/>
      <c r="M25" s="54"/>
      <c r="N25" s="54"/>
      <c r="O25" s="54"/>
    </row>
    <row r="26" spans="4:17">
      <c r="D26" s="56">
        <v>0.14992</v>
      </c>
      <c r="E26" s="56">
        <v>7.3699999999999998E-3</v>
      </c>
      <c r="I26" s="56"/>
      <c r="J26" s="56"/>
      <c r="K26" s="56"/>
      <c r="L26" s="56"/>
      <c r="M26" s="54"/>
      <c r="N26" s="54"/>
      <c r="O26" s="54"/>
    </row>
    <row r="27" spans="4:17">
      <c r="D27" s="56">
        <v>0.19985</v>
      </c>
      <c r="E27" s="56">
        <v>1.3129999999999999E-2</v>
      </c>
      <c r="I27" s="56"/>
      <c r="J27" s="56"/>
      <c r="K27" s="56"/>
      <c r="L27" s="56"/>
      <c r="M27" s="54"/>
      <c r="N27" s="54"/>
      <c r="O27" s="54"/>
    </row>
    <row r="28" spans="4:17">
      <c r="D28" s="56">
        <v>0.29977999999999999</v>
      </c>
      <c r="E28" s="56">
        <v>1.934E-2</v>
      </c>
      <c r="I28" s="56"/>
      <c r="J28" s="56"/>
      <c r="K28" s="56"/>
      <c r="L28" s="56"/>
      <c r="M28" s="54"/>
      <c r="N28" s="54"/>
      <c r="O28" s="54"/>
    </row>
    <row r="29" spans="4:17">
      <c r="D29" s="56">
        <v>0.39977000000000001</v>
      </c>
      <c r="E29" s="56">
        <v>2.1340000000000001E-2</v>
      </c>
      <c r="I29" s="56"/>
      <c r="J29" s="56"/>
      <c r="K29" s="56"/>
      <c r="L29" s="56"/>
      <c r="M29" s="54"/>
      <c r="N29" s="54"/>
      <c r="O29" s="54"/>
    </row>
    <row r="30" spans="4:17">
      <c r="D30" s="56">
        <v>0.49975000000000003</v>
      </c>
      <c r="E30" s="56">
        <v>2.2169999999999999E-2</v>
      </c>
      <c r="I30" s="56"/>
      <c r="J30" s="56"/>
      <c r="K30" s="56"/>
      <c r="L30" s="56"/>
      <c r="M30" s="54"/>
      <c r="N30" s="54"/>
      <c r="O30" s="54"/>
    </row>
    <row r="31" spans="4:17">
      <c r="D31" s="56">
        <v>0.59977000000000003</v>
      </c>
      <c r="E31" s="56">
        <v>2.0389999999999998E-2</v>
      </c>
      <c r="I31" s="56"/>
      <c r="J31" s="56"/>
      <c r="K31" s="56"/>
      <c r="L31" s="56"/>
      <c r="M31" s="54"/>
      <c r="N31" s="54"/>
      <c r="O31" s="54"/>
    </row>
    <row r="32" spans="4:17">
      <c r="D32" s="56">
        <v>0.69982</v>
      </c>
      <c r="E32" s="56">
        <v>1.61E-2</v>
      </c>
      <c r="I32" s="56"/>
      <c r="J32" s="56"/>
      <c r="K32" s="56"/>
      <c r="L32" s="56"/>
      <c r="M32" s="54"/>
      <c r="N32" s="54"/>
      <c r="O32" s="54"/>
    </row>
    <row r="33" spans="4:15">
      <c r="D33" s="56">
        <v>0.79988000000000004</v>
      </c>
      <c r="E33" s="56">
        <v>1.1220000000000001E-2</v>
      </c>
      <c r="I33" s="56"/>
      <c r="J33" s="56"/>
      <c r="K33" s="56"/>
      <c r="L33" s="56"/>
      <c r="M33" s="54"/>
      <c r="N33" s="54"/>
      <c r="O33" s="54"/>
    </row>
    <row r="34" spans="4:15">
      <c r="D34" s="56">
        <v>0.89993999999999996</v>
      </c>
      <c r="E34" s="56">
        <v>5.0299999999999997E-3</v>
      </c>
      <c r="I34" s="56"/>
      <c r="J34" s="56"/>
      <c r="K34" s="56"/>
      <c r="L34" s="56"/>
      <c r="M34" s="54"/>
      <c r="N34" s="54"/>
      <c r="O34" s="54"/>
    </row>
    <row r="35" spans="4:15">
      <c r="D35" s="56">
        <v>0.94998000000000005</v>
      </c>
      <c r="E35" s="56">
        <v>2.0899999999999998E-3</v>
      </c>
      <c r="I35" s="56"/>
      <c r="J35" s="56"/>
      <c r="K35" s="56"/>
      <c r="L35" s="56"/>
      <c r="M35" s="54"/>
      <c r="N35" s="54"/>
      <c r="O35" s="54"/>
    </row>
    <row r="36" spans="4:15">
      <c r="D36" s="56">
        <v>1</v>
      </c>
      <c r="E36" s="56">
        <v>-8.4999999999999995E-4</v>
      </c>
      <c r="I36" s="56"/>
      <c r="J36" s="56"/>
      <c r="K36" s="56"/>
      <c r="L36" s="56"/>
      <c r="M36" s="54"/>
      <c r="N36" s="54"/>
      <c r="O36" s="54"/>
    </row>
    <row r="37" spans="4:15">
      <c r="E37" s="54"/>
      <c r="F37" s="54"/>
      <c r="G37" s="54"/>
      <c r="H37" s="54"/>
      <c r="I37" s="54"/>
      <c r="J37" s="54"/>
      <c r="K37" s="54"/>
      <c r="L37" s="54"/>
      <c r="M37" s="54"/>
    </row>
    <row r="38" spans="4:15">
      <c r="E38" s="54"/>
      <c r="F38" s="54"/>
      <c r="G38" s="54"/>
      <c r="H38" s="54"/>
      <c r="I38" s="54"/>
      <c r="J38" s="54"/>
      <c r="K38" s="54"/>
      <c r="L38" s="54"/>
      <c r="M38" s="54"/>
    </row>
    <row r="39" spans="4:15">
      <c r="E39" s="54"/>
      <c r="F39" s="54"/>
      <c r="G39" s="54"/>
      <c r="H39" s="54"/>
      <c r="I39" s="54"/>
      <c r="J39" s="54"/>
      <c r="K39" s="54"/>
      <c r="L39" s="54"/>
      <c r="M39" s="54"/>
    </row>
    <row r="40" spans="4:15">
      <c r="E40" s="54"/>
      <c r="F40" s="54"/>
      <c r="G40" s="54"/>
      <c r="H40" s="54"/>
      <c r="I40" s="54"/>
      <c r="J40" s="54"/>
      <c r="K40" s="54"/>
      <c r="L40" s="54"/>
      <c r="M40" s="54"/>
    </row>
    <row r="41" spans="4:15">
      <c r="E41" s="54"/>
      <c r="F41" s="54"/>
      <c r="G41" s="54"/>
      <c r="H41" s="54"/>
      <c r="I41" s="54"/>
      <c r="J41" s="54"/>
      <c r="K41" s="54"/>
      <c r="L41" s="54"/>
      <c r="M41" s="54"/>
    </row>
    <row r="42" spans="4:15">
      <c r="E42" s="54"/>
      <c r="F42" s="54"/>
      <c r="G42" s="54"/>
      <c r="H42" s="54"/>
      <c r="I42" s="54"/>
      <c r="J42" s="54"/>
      <c r="K42" s="54"/>
      <c r="L42" s="54"/>
      <c r="M42" s="54"/>
    </row>
  </sheetData>
  <phoneticPr fontId="45"/>
  <pageMargins left="0.7" right="0.7" top="0.75" bottom="0.75" header="0.3" footer="0.3"/>
  <pageSetup paperSize="9"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745BB-86D5-496A-A948-7AD12627A1C8}">
  <dimension ref="A1:X23"/>
  <sheetViews>
    <sheetView zoomScale="185" workbookViewId="0">
      <selection activeCell="K24" sqref="K24"/>
    </sheetView>
  </sheetViews>
  <sheetFormatPr baseColWidth="10" defaultColWidth="9" defaultRowHeight="17"/>
  <cols>
    <col min="1" max="16384" width="9" style="77"/>
  </cols>
  <sheetData>
    <row r="1" spans="1:24" s="9" customFormat="1">
      <c r="A1" s="9" t="s">
        <v>499</v>
      </c>
    </row>
    <row r="2" spans="1:24" s="9" customFormat="1">
      <c r="A2" s="9" t="s">
        <v>518</v>
      </c>
      <c r="B2" s="9" t="s">
        <v>519</v>
      </c>
      <c r="C2" s="9" t="s">
        <v>520</v>
      </c>
      <c r="D2" s="9" t="s">
        <v>521</v>
      </c>
      <c r="E2" s="9" t="s">
        <v>522</v>
      </c>
      <c r="F2" s="9" t="s">
        <v>523</v>
      </c>
      <c r="G2" s="9" t="s">
        <v>524</v>
      </c>
      <c r="H2" s="9" t="s">
        <v>525</v>
      </c>
      <c r="I2" s="9" t="s">
        <v>526</v>
      </c>
      <c r="J2" s="9" t="s">
        <v>527</v>
      </c>
      <c r="K2" s="9" t="s">
        <v>528</v>
      </c>
      <c r="L2" s="9" t="s">
        <v>529</v>
      </c>
      <c r="M2" s="9" t="s">
        <v>530</v>
      </c>
      <c r="N2" s="9" t="s">
        <v>531</v>
      </c>
      <c r="O2" s="9" t="s">
        <v>532</v>
      </c>
      <c r="P2" s="9" t="s">
        <v>533</v>
      </c>
      <c r="Q2" s="9" t="s">
        <v>534</v>
      </c>
      <c r="R2" s="9" t="s">
        <v>535</v>
      </c>
      <c r="S2" s="9" t="s">
        <v>536</v>
      </c>
      <c r="T2" s="9" t="s">
        <v>537</v>
      </c>
      <c r="U2" s="9" t="s">
        <v>538</v>
      </c>
      <c r="V2" s="9" t="s">
        <v>539</v>
      </c>
      <c r="W2" s="9" t="s">
        <v>540</v>
      </c>
      <c r="X2" s="9" t="s">
        <v>541</v>
      </c>
    </row>
    <row r="3" spans="1:24" s="9" customFormat="1">
      <c r="A3" s="9">
        <v>3.5</v>
      </c>
      <c r="B3" s="9">
        <v>0.157</v>
      </c>
      <c r="C3" s="9">
        <v>8.2347267253501109</v>
      </c>
      <c r="D3" s="9">
        <v>15</v>
      </c>
      <c r="E3" s="9">
        <v>-6.4126348498070902</v>
      </c>
      <c r="F3" s="9">
        <v>0.99175345234180701</v>
      </c>
      <c r="G3" s="9">
        <v>1.7683546289571099</v>
      </c>
      <c r="H3" s="9">
        <v>0.13016031223267499</v>
      </c>
      <c r="I3" s="9">
        <v>6.6081877717546103E-2</v>
      </c>
      <c r="J3" s="9">
        <v>0.196242189950221</v>
      </c>
      <c r="K3" s="9">
        <v>0.21507141850047901</v>
      </c>
      <c r="L3" s="9">
        <v>-0.229801769256436</v>
      </c>
      <c r="M3" s="9">
        <v>2.36661305713734E-2</v>
      </c>
      <c r="N3" s="9">
        <v>0.14730502500000001</v>
      </c>
      <c r="O3" s="9">
        <v>0.17097115557137299</v>
      </c>
      <c r="P3" s="9">
        <v>4.65E-2</v>
      </c>
      <c r="Q3" s="9">
        <v>0.40224604696501698</v>
      </c>
      <c r="R3" s="9">
        <v>7.6028399999999996E-2</v>
      </c>
      <c r="S3" s="9">
        <v>2.4E-2</v>
      </c>
      <c r="T3" s="9">
        <v>4.46363355341826E-2</v>
      </c>
      <c r="U3" s="9">
        <v>1.5385528597006699</v>
      </c>
      <c r="V3" s="9">
        <v>0.44324174552159501</v>
      </c>
      <c r="W3" s="9">
        <v>1.0382024422657099</v>
      </c>
      <c r="X3" s="9">
        <v>0.115213949479153</v>
      </c>
    </row>
    <row r="4" spans="1:24" s="9" customFormat="1">
      <c r="A4" s="9">
        <v>3.6</v>
      </c>
      <c r="B4" s="9">
        <v>0.157</v>
      </c>
      <c r="C4" s="9">
        <v>15</v>
      </c>
      <c r="D4" s="9">
        <v>15</v>
      </c>
      <c r="E4" s="9">
        <v>-31.112097596037501</v>
      </c>
      <c r="F4" s="9">
        <v>0.109568337269752</v>
      </c>
      <c r="G4" s="9">
        <v>1.9684386614537199</v>
      </c>
      <c r="H4" s="9">
        <v>3.2434404930629999</v>
      </c>
      <c r="I4" s="9">
        <v>0.349072908206779</v>
      </c>
      <c r="J4" s="9">
        <v>3.5925134012697799</v>
      </c>
      <c r="K4" s="9">
        <v>0.21507141850047901</v>
      </c>
      <c r="L4" s="9">
        <v>-0.42763242354199199</v>
      </c>
      <c r="M4" s="9">
        <v>7.7462740997524496E-2</v>
      </c>
      <c r="N4" s="9">
        <v>0.155842704</v>
      </c>
      <c r="O4" s="9">
        <v>0.23330544499752401</v>
      </c>
      <c r="P4" s="9">
        <v>4.65E-2</v>
      </c>
      <c r="Q4" s="9">
        <v>0.40224604696501698</v>
      </c>
      <c r="R4" s="9">
        <v>8.0434943999999994E-2</v>
      </c>
      <c r="S4" s="9">
        <v>2.4E-2</v>
      </c>
      <c r="T4" s="9">
        <v>4.46363355341826E-2</v>
      </c>
      <c r="U4" s="9">
        <v>1.54080623791173</v>
      </c>
      <c r="V4" s="9">
        <v>3.9062537902673</v>
      </c>
      <c r="W4" s="9">
        <v>1.0923596661061299</v>
      </c>
      <c r="X4" s="9">
        <v>1.9936190120319499</v>
      </c>
    </row>
    <row r="5" spans="1:24" s="9" customFormat="1">
      <c r="A5" s="9">
        <v>3.7</v>
      </c>
      <c r="B5" s="9">
        <v>0.157</v>
      </c>
      <c r="C5" s="9">
        <v>14.9936973206411</v>
      </c>
      <c r="D5" s="9">
        <v>15</v>
      </c>
      <c r="E5" s="9">
        <v>-36.220208433671701</v>
      </c>
      <c r="F5" s="9">
        <v>0.114422944118383</v>
      </c>
      <c r="G5" s="9">
        <v>2.0681683836173299</v>
      </c>
      <c r="H5" s="9">
        <v>2.91370703463509</v>
      </c>
      <c r="I5" s="9">
        <v>0.36829878135975302</v>
      </c>
      <c r="J5" s="9">
        <v>3.2820058159948502</v>
      </c>
      <c r="K5" s="9">
        <v>0.21507141850047901</v>
      </c>
      <c r="L5" s="9">
        <v>-0.52603744553813603</v>
      </c>
      <c r="M5" s="9">
        <v>0.11096511845519</v>
      </c>
      <c r="N5" s="9">
        <v>0.164620881</v>
      </c>
      <c r="O5" s="9">
        <v>0.27558599945519002</v>
      </c>
      <c r="P5" s="9">
        <v>4.65E-2</v>
      </c>
      <c r="Q5" s="9">
        <v>0.40224604696501698</v>
      </c>
      <c r="R5" s="9">
        <v>8.4965615999999994E-2</v>
      </c>
      <c r="S5" s="9">
        <v>2.4E-2</v>
      </c>
      <c r="T5" s="9">
        <v>4.46363355341826E-2</v>
      </c>
      <c r="U5" s="9">
        <v>1.5421309380791901</v>
      </c>
      <c r="V5" s="9">
        <v>3.6425574314500402</v>
      </c>
      <c r="W5" s="9">
        <v>1.0865037206619099</v>
      </c>
      <c r="X5" s="9">
        <v>1.7241882037068299</v>
      </c>
    </row>
    <row r="6" spans="1:24" s="9" customFormat="1">
      <c r="A6" s="9">
        <v>3.8</v>
      </c>
      <c r="B6" s="9">
        <v>0.157</v>
      </c>
      <c r="C6" s="9">
        <v>14.9999999999901</v>
      </c>
      <c r="D6" s="9">
        <v>15</v>
      </c>
      <c r="E6" s="9">
        <v>-40.898026987083803</v>
      </c>
      <c r="F6" s="9">
        <v>6.0437455574239303E-2</v>
      </c>
      <c r="G6" s="9">
        <v>2.1698233206903401</v>
      </c>
      <c r="H6" s="9">
        <v>5.9193287784564204</v>
      </c>
      <c r="I6" s="9">
        <v>0.38895943754497703</v>
      </c>
      <c r="J6" s="9">
        <v>6.3082882160014</v>
      </c>
      <c r="K6" s="9">
        <v>0.21507141850047901</v>
      </c>
      <c r="L6" s="9">
        <v>-0.62633384884557097</v>
      </c>
      <c r="M6" s="9">
        <v>0.14914241850849899</v>
      </c>
      <c r="N6" s="9">
        <v>0.173639556</v>
      </c>
      <c r="O6" s="9">
        <v>0.32278197450849899</v>
      </c>
      <c r="P6" s="9">
        <v>4.65E-2</v>
      </c>
      <c r="Q6" s="9">
        <v>0.40224604696501698</v>
      </c>
      <c r="R6" s="9">
        <v>8.9620415999999994E-2</v>
      </c>
      <c r="S6" s="9">
        <v>2.4E-2</v>
      </c>
      <c r="T6" s="9">
        <v>4.46363355341826E-2</v>
      </c>
      <c r="U6" s="9">
        <v>1.54348947184477</v>
      </c>
      <c r="V6" s="9">
        <v>6.7206906065099004</v>
      </c>
      <c r="W6" s="9">
        <v>1.08070198862085</v>
      </c>
      <c r="X6" s="9">
        <v>3.1419054053014901</v>
      </c>
    </row>
    <row r="7" spans="1:24" s="9" customFormat="1">
      <c r="A7" s="9">
        <v>3.9</v>
      </c>
      <c r="B7" s="9">
        <v>0.157</v>
      </c>
      <c r="C7" s="9">
        <v>14.999999999998799</v>
      </c>
      <c r="D7" s="9">
        <v>15</v>
      </c>
      <c r="E7" s="9">
        <v>-45.881476097331799</v>
      </c>
      <c r="F7" s="9">
        <v>3.3913110299961899E-2</v>
      </c>
      <c r="G7" s="9">
        <v>2.28516344465416</v>
      </c>
      <c r="H7" s="9">
        <v>10.796960714483999</v>
      </c>
      <c r="I7" s="9">
        <v>0.409783985118855</v>
      </c>
      <c r="J7" s="9">
        <v>11.206744699602799</v>
      </c>
      <c r="K7" s="9">
        <v>0.21507141850047901</v>
      </c>
      <c r="L7" s="9">
        <v>-0.74012134271687802</v>
      </c>
      <c r="M7" s="9">
        <v>0.19771210090472799</v>
      </c>
      <c r="N7" s="9">
        <v>0.18289872900000001</v>
      </c>
      <c r="O7" s="9">
        <v>0.380610829904729</v>
      </c>
      <c r="P7" s="9">
        <v>4.65E-2</v>
      </c>
      <c r="Q7" s="9">
        <v>0.40224604696501698</v>
      </c>
      <c r="R7" s="9">
        <v>9.4399343999999996E-2</v>
      </c>
      <c r="S7" s="9">
        <v>2.4E-2</v>
      </c>
      <c r="T7" s="9">
        <v>4.46363355341826E-2</v>
      </c>
      <c r="U7" s="9">
        <v>1.54504210193728</v>
      </c>
      <c r="V7" s="9">
        <v>11.681754873507501</v>
      </c>
      <c r="W7" s="9">
        <v>1.0805299903994201</v>
      </c>
      <c r="X7" s="9">
        <v>5.2990624241773903</v>
      </c>
    </row>
    <row r="8" spans="1:24" s="9" customFormat="1">
      <c r="A8" s="9">
        <v>4</v>
      </c>
      <c r="B8" s="9">
        <v>0.157</v>
      </c>
      <c r="C8" s="9">
        <v>15</v>
      </c>
      <c r="D8" s="9">
        <v>15</v>
      </c>
      <c r="E8" s="9">
        <v>5.8618354797363201</v>
      </c>
      <c r="F8" s="9">
        <v>9.1731758790619504E-3</v>
      </c>
      <c r="G8" s="9">
        <v>2.3043175625842198</v>
      </c>
      <c r="H8" s="9">
        <v>64.785014642412193</v>
      </c>
      <c r="I8" s="9">
        <v>0.431199440594209</v>
      </c>
      <c r="J8" s="9">
        <v>65.216214083006406</v>
      </c>
      <c r="K8" s="9">
        <v>0.21507141850047901</v>
      </c>
      <c r="L8" s="9">
        <v>9.9469501238951E-2</v>
      </c>
      <c r="M8" s="9">
        <v>3.3948180833811899E-3</v>
      </c>
      <c r="N8" s="9">
        <v>0.1923984</v>
      </c>
      <c r="O8" s="9">
        <v>0.19579321808338099</v>
      </c>
      <c r="P8" s="9">
        <v>4.65E-2</v>
      </c>
      <c r="Q8" s="9">
        <v>0.40224604696501698</v>
      </c>
      <c r="R8" s="9">
        <v>9.9302399999999999E-2</v>
      </c>
      <c r="S8" s="9">
        <v>2.4E-2</v>
      </c>
      <c r="T8" s="9">
        <v>4.46363355341826E-2</v>
      </c>
      <c r="U8" s="9">
        <v>2.4037870638231702</v>
      </c>
      <c r="V8" s="9">
        <v>65.5113097010898</v>
      </c>
      <c r="W8" s="9">
        <v>1.03578858014327</v>
      </c>
      <c r="X8" s="9">
        <v>29.314626978584101</v>
      </c>
    </row>
    <row r="9" spans="1:24" s="9" customFormat="1">
      <c r="A9" s="9">
        <v>4.0999999999999996</v>
      </c>
      <c r="B9" s="9">
        <v>0.157</v>
      </c>
      <c r="C9" s="9">
        <v>14.966069450441699</v>
      </c>
      <c r="D9" s="9">
        <v>15</v>
      </c>
      <c r="E9" s="9">
        <v>-19.637933450843999</v>
      </c>
      <c r="F9" s="9">
        <v>1.3224683089380001E-4</v>
      </c>
      <c r="G9" s="9">
        <v>1.8899195518445799</v>
      </c>
      <c r="H9" s="9">
        <v>2837.21654067094</v>
      </c>
      <c r="I9" s="9">
        <v>0.45049077403878901</v>
      </c>
      <c r="J9" s="9">
        <v>2837.6670314449798</v>
      </c>
      <c r="K9" s="9">
        <v>0.21507141850047901</v>
      </c>
      <c r="L9" s="9">
        <v>-0.35111441568566698</v>
      </c>
      <c r="M9" s="9">
        <v>4.0261153807335803E-2</v>
      </c>
      <c r="N9" s="9">
        <v>0.20213856899999999</v>
      </c>
      <c r="O9" s="9">
        <v>0.24239972280733499</v>
      </c>
      <c r="P9" s="9">
        <v>4.65E-2</v>
      </c>
      <c r="Q9" s="9">
        <v>0.40224604696501698</v>
      </c>
      <c r="R9" s="9">
        <v>0.104329584</v>
      </c>
      <c r="S9" s="9">
        <v>2.4E-2</v>
      </c>
      <c r="T9" s="9">
        <v>4.46363355341826E-2</v>
      </c>
      <c r="U9" s="9">
        <v>1.5388051361589199</v>
      </c>
      <c r="V9" s="9">
        <v>2838.01376075179</v>
      </c>
      <c r="W9" s="9">
        <v>0.80858257087219898</v>
      </c>
      <c r="X9" s="9">
        <v>1214.0665465498801</v>
      </c>
    </row>
    <row r="10" spans="1:24" s="9" customFormat="1">
      <c r="A10" s="9">
        <v>4.2</v>
      </c>
      <c r="B10" s="9">
        <v>0.157</v>
      </c>
      <c r="C10" s="9">
        <v>5.4387687941629004</v>
      </c>
      <c r="D10" s="9">
        <v>15</v>
      </c>
      <c r="E10" s="9">
        <v>-2.2312816423491499</v>
      </c>
      <c r="F10" s="9">
        <v>0.70513603605350605</v>
      </c>
      <c r="G10" s="9">
        <v>1.87850994415328</v>
      </c>
      <c r="H10" s="9">
        <v>0.10077886302738</v>
      </c>
      <c r="I10" s="9">
        <v>6.1208398631813703E-2</v>
      </c>
      <c r="J10" s="9">
        <v>0.161987261659194</v>
      </c>
      <c r="K10" s="9">
        <v>0.21507141850047901</v>
      </c>
      <c r="L10" s="9">
        <v>-0.33986791590820697</v>
      </c>
      <c r="M10" s="9">
        <v>3.5948300628527198E-2</v>
      </c>
      <c r="N10" s="9">
        <v>0.21211923599999999</v>
      </c>
      <c r="O10" s="9">
        <v>0.24806753662852701</v>
      </c>
      <c r="P10" s="9">
        <v>4.65E-2</v>
      </c>
      <c r="Q10" s="9">
        <v>0.40224604696501698</v>
      </c>
      <c r="R10" s="9">
        <v>0.10948089599999999</v>
      </c>
      <c r="S10" s="9">
        <v>2.4E-2</v>
      </c>
      <c r="T10" s="9">
        <v>4.46363355341826E-2</v>
      </c>
      <c r="U10" s="9">
        <v>1.5386420282450699</v>
      </c>
      <c r="V10" s="9">
        <v>0.51953569428772195</v>
      </c>
      <c r="W10" s="9">
        <v>0.76588522048197705</v>
      </c>
      <c r="X10" s="9">
        <v>6.6043648050553405E-2</v>
      </c>
    </row>
    <row r="11" spans="1:24" s="9" customFormat="1">
      <c r="A11" s="9">
        <v>4.3</v>
      </c>
      <c r="B11" s="9">
        <v>0.157</v>
      </c>
      <c r="C11" s="9">
        <v>4.93963163209414</v>
      </c>
      <c r="D11" s="9">
        <v>15</v>
      </c>
      <c r="E11" s="9">
        <v>-1.43381905094796</v>
      </c>
      <c r="F11" s="9">
        <v>0.67527288876949698</v>
      </c>
      <c r="G11" s="9">
        <v>1.8955118151530499</v>
      </c>
      <c r="H11" s="9">
        <v>9.7455876198983202E-2</v>
      </c>
      <c r="I11" s="9">
        <v>5.7501621484306202E-2</v>
      </c>
      <c r="J11" s="9">
        <v>0.15495749768328901</v>
      </c>
      <c r="K11" s="9">
        <v>0.21507141850047901</v>
      </c>
      <c r="L11" s="9">
        <v>-0.35691998933286001</v>
      </c>
      <c r="M11" s="9">
        <v>3.7823476190517701E-2</v>
      </c>
      <c r="N11" s="9">
        <v>0.22234040099999999</v>
      </c>
      <c r="O11" s="9">
        <v>0.26016387719051698</v>
      </c>
      <c r="P11" s="9">
        <v>4.65E-2</v>
      </c>
      <c r="Q11" s="9">
        <v>0.40224604696501698</v>
      </c>
      <c r="R11" s="9">
        <v>0.114756336</v>
      </c>
      <c r="S11" s="9">
        <v>2.4E-2</v>
      </c>
      <c r="T11" s="9">
        <v>4.46363355341826E-2</v>
      </c>
      <c r="U11" s="9">
        <v>1.5385918258201901</v>
      </c>
      <c r="V11" s="9">
        <v>0.52987771087380697</v>
      </c>
      <c r="W11" s="9">
        <v>0.73729002109460196</v>
      </c>
      <c r="X11" s="9">
        <v>6.0273228487607203E-2</v>
      </c>
    </row>
    <row r="12" spans="1:24" s="9" customFormat="1">
      <c r="A12" s="9">
        <v>4.4000000000000004</v>
      </c>
      <c r="B12" s="9">
        <v>0.157</v>
      </c>
      <c r="C12" s="9">
        <v>4.5018980997654099</v>
      </c>
      <c r="D12" s="9">
        <v>15</v>
      </c>
      <c r="E12" s="9">
        <v>-0.83123524900903201</v>
      </c>
      <c r="F12" s="9">
        <v>0.64262198153067396</v>
      </c>
      <c r="G12" s="9">
        <v>1.9148582936797001</v>
      </c>
      <c r="H12" s="9">
        <v>9.4626331973408695E-2</v>
      </c>
      <c r="I12" s="9">
        <v>5.6384428954787798E-2</v>
      </c>
      <c r="J12" s="9">
        <v>0.15101076092819599</v>
      </c>
      <c r="K12" s="9">
        <v>0.21507141850047901</v>
      </c>
      <c r="L12" s="9">
        <v>-0.37632100659988199</v>
      </c>
      <c r="M12" s="9">
        <v>4.01576397536441E-2</v>
      </c>
      <c r="N12" s="9">
        <v>0.232802064</v>
      </c>
      <c r="O12" s="9">
        <v>0.27295970375364398</v>
      </c>
      <c r="P12" s="9">
        <v>4.65E-2</v>
      </c>
      <c r="Q12" s="9">
        <v>0.40224604696501698</v>
      </c>
      <c r="R12" s="9">
        <v>0.12015590399999999</v>
      </c>
      <c r="S12" s="9">
        <v>2.4E-2</v>
      </c>
      <c r="T12" s="9">
        <v>4.46363355341826E-2</v>
      </c>
      <c r="U12" s="9">
        <v>1.53853728707982</v>
      </c>
      <c r="V12" s="9">
        <v>0.54412636868183994</v>
      </c>
      <c r="W12" s="9">
        <v>0.71134463186344699</v>
      </c>
      <c r="X12" s="9">
        <v>5.6098508435034597E-2</v>
      </c>
    </row>
    <row r="13" spans="1:24" s="9" customFormat="1">
      <c r="A13" s="9">
        <v>4.5</v>
      </c>
      <c r="B13" s="9">
        <v>0.157</v>
      </c>
      <c r="C13" s="9">
        <v>4.2689605282612799</v>
      </c>
      <c r="D13" s="9">
        <v>15</v>
      </c>
      <c r="E13" s="9">
        <v>-0.55141232604392398</v>
      </c>
      <c r="F13" s="9">
        <v>0.60884125382831999</v>
      </c>
      <c r="G13" s="9">
        <v>1.93450177405843</v>
      </c>
      <c r="H13" s="9">
        <v>9.2221700061330694E-2</v>
      </c>
      <c r="I13" s="9">
        <v>5.76519103853868E-2</v>
      </c>
      <c r="J13" s="9">
        <v>0.14987361044671699</v>
      </c>
      <c r="K13" s="9">
        <v>0.21507141850047901</v>
      </c>
      <c r="L13" s="9">
        <v>-0.39594906533114299</v>
      </c>
      <c r="M13" s="9">
        <v>4.2502084033225702E-2</v>
      </c>
      <c r="N13" s="9">
        <v>0.24350422499999999</v>
      </c>
      <c r="O13" s="9">
        <v>0.28600630903322499</v>
      </c>
      <c r="P13" s="9">
        <v>4.65E-2</v>
      </c>
      <c r="Q13" s="9">
        <v>0.40224604696501698</v>
      </c>
      <c r="R13" s="9">
        <v>0.1256796</v>
      </c>
      <c r="S13" s="9">
        <v>2.4E-2</v>
      </c>
      <c r="T13" s="9">
        <v>4.46363355341826E-2</v>
      </c>
      <c r="U13" s="9">
        <v>1.5385527087272901</v>
      </c>
      <c r="V13" s="9">
        <v>0.56155951947994298</v>
      </c>
      <c r="W13" s="9">
        <v>0.687057169805948</v>
      </c>
      <c r="X13" s="9">
        <v>5.3229074277918197E-2</v>
      </c>
    </row>
    <row r="14" spans="1:24" s="9" customFormat="1">
      <c r="A14" s="9">
        <v>4.5999999999999996</v>
      </c>
      <c r="B14" s="9">
        <v>0.157</v>
      </c>
      <c r="C14" s="9">
        <v>4.05083382825174</v>
      </c>
      <c r="D14" s="9">
        <v>15</v>
      </c>
      <c r="E14" s="9">
        <v>-0.22516549143141301</v>
      </c>
      <c r="F14" s="9">
        <v>0.57748425239158596</v>
      </c>
      <c r="G14" s="9">
        <v>1.9531778587325199</v>
      </c>
      <c r="H14" s="9">
        <v>8.9873923787537197E-2</v>
      </c>
      <c r="I14" s="9">
        <v>5.8958206926337797E-2</v>
      </c>
      <c r="J14" s="9">
        <v>0.14883213071387499</v>
      </c>
      <c r="K14" s="9">
        <v>0.21507141850047901</v>
      </c>
      <c r="L14" s="9">
        <v>-0.414579347748192</v>
      </c>
      <c r="M14" s="9">
        <v>4.45919303936851E-2</v>
      </c>
      <c r="N14" s="9">
        <v>0.25444688399999998</v>
      </c>
      <c r="O14" s="9">
        <v>0.29903881439368502</v>
      </c>
      <c r="P14" s="9">
        <v>4.65E-2</v>
      </c>
      <c r="Q14" s="9">
        <v>0.40224604696501698</v>
      </c>
      <c r="R14" s="9">
        <v>0.131327424</v>
      </c>
      <c r="S14" s="9">
        <v>2.4E-2</v>
      </c>
      <c r="T14" s="9">
        <v>4.46363355341826E-2</v>
      </c>
      <c r="U14" s="9">
        <v>1.5385985109843201</v>
      </c>
      <c r="V14" s="9">
        <v>0.57919836910755995</v>
      </c>
      <c r="W14" s="9">
        <v>0.66385755240520805</v>
      </c>
      <c r="X14" s="9">
        <v>5.0585937974476997E-2</v>
      </c>
    </row>
    <row r="15" spans="1:24" s="9" customFormat="1">
      <c r="A15" s="9">
        <v>4.7</v>
      </c>
      <c r="B15" s="9">
        <v>0.157</v>
      </c>
      <c r="C15" s="9">
        <v>3.84968160261085</v>
      </c>
      <c r="D15" s="9">
        <v>15</v>
      </c>
      <c r="E15" s="9">
        <v>0.12995957619784301</v>
      </c>
      <c r="F15" s="9">
        <v>0.54737223208085095</v>
      </c>
      <c r="G15" s="9">
        <v>1.9709348037460901</v>
      </c>
      <c r="H15" s="9">
        <v>8.7585836089260002E-2</v>
      </c>
      <c r="I15" s="9">
        <v>6.1293495416746398E-2</v>
      </c>
      <c r="J15" s="9">
        <v>0.14887933150600599</v>
      </c>
      <c r="K15" s="9">
        <v>0.21507141850047901</v>
      </c>
      <c r="L15" s="9">
        <v>-0.43233491996284801</v>
      </c>
      <c r="M15" s="9">
        <v>4.6451690468427502E-2</v>
      </c>
      <c r="N15" s="9">
        <v>0.26563004099999998</v>
      </c>
      <c r="O15" s="9">
        <v>0.31208173146842699</v>
      </c>
      <c r="P15" s="9">
        <v>4.65E-2</v>
      </c>
      <c r="Q15" s="9">
        <v>0.40224604696501698</v>
      </c>
      <c r="R15" s="9">
        <v>0.137099376</v>
      </c>
      <c r="S15" s="9">
        <v>2.4E-2</v>
      </c>
      <c r="T15" s="9">
        <v>4.46363355341826E-2</v>
      </c>
      <c r="U15" s="9">
        <v>1.53859988378324</v>
      </c>
      <c r="V15" s="9">
        <v>0.59806043897443395</v>
      </c>
      <c r="W15" s="9">
        <v>0.64169006295118902</v>
      </c>
      <c r="X15" s="9">
        <v>4.84716122647188E-2</v>
      </c>
    </row>
    <row r="16" spans="1:24" s="9" customFormat="1">
      <c r="A16" s="9">
        <v>4.8</v>
      </c>
      <c r="B16" s="9">
        <v>0.157</v>
      </c>
      <c r="C16" s="9">
        <v>3.6586889738626298</v>
      </c>
      <c r="D16" s="9">
        <v>15</v>
      </c>
      <c r="E16" s="9">
        <v>0.486112800255732</v>
      </c>
      <c r="F16" s="9">
        <v>0.51909238172968297</v>
      </c>
      <c r="G16" s="9">
        <v>1.9886381019260699</v>
      </c>
      <c r="H16" s="9">
        <v>8.5426575085731205E-2</v>
      </c>
      <c r="I16" s="9">
        <v>6.3791338062878594E-2</v>
      </c>
      <c r="J16" s="9">
        <v>0.14921791314860899</v>
      </c>
      <c r="K16" s="9">
        <v>0.21507141850047901</v>
      </c>
      <c r="L16" s="9">
        <v>-0.45000342283618799</v>
      </c>
      <c r="M16" s="9">
        <v>4.8250938889415798E-2</v>
      </c>
      <c r="N16" s="9">
        <v>0.27705369600000002</v>
      </c>
      <c r="O16" s="9">
        <v>0.32530463488941502</v>
      </c>
      <c r="P16" s="9">
        <v>4.65E-2</v>
      </c>
      <c r="Q16" s="9">
        <v>0.40224604696501698</v>
      </c>
      <c r="R16" s="9">
        <v>0.14299545599999999</v>
      </c>
      <c r="S16" s="9">
        <v>2.4E-2</v>
      </c>
      <c r="T16" s="9">
        <v>4.46363355341826E-2</v>
      </c>
      <c r="U16" s="9">
        <v>1.5386346790898799</v>
      </c>
      <c r="V16" s="9">
        <v>0.61751800403802504</v>
      </c>
      <c r="W16" s="9">
        <v>0.62075761046303501</v>
      </c>
      <c r="X16" s="9">
        <v>4.6578688759255797E-2</v>
      </c>
    </row>
    <row r="17" spans="1:24" s="9" customFormat="1">
      <c r="A17" s="9">
        <v>4.9000000000000004</v>
      </c>
      <c r="B17" s="9">
        <v>0.157</v>
      </c>
      <c r="C17" s="9">
        <v>3.4581479389420702</v>
      </c>
      <c r="D17" s="9">
        <v>15</v>
      </c>
      <c r="E17" s="9">
        <v>1.04878944582969</v>
      </c>
      <c r="F17" s="9">
        <v>0.49330797788726899</v>
      </c>
      <c r="G17" s="9">
        <v>2.0016704671125201</v>
      </c>
      <c r="H17" s="9">
        <v>8.2983189865408202E-2</v>
      </c>
      <c r="I17" s="9">
        <v>6.6734494871930006E-2</v>
      </c>
      <c r="J17" s="9">
        <v>0.14971768473733801</v>
      </c>
      <c r="K17" s="9">
        <v>0.21507141850047901</v>
      </c>
      <c r="L17" s="9">
        <v>-0.46313181785372198</v>
      </c>
      <c r="M17" s="9">
        <v>4.9042622584221998E-2</v>
      </c>
      <c r="N17" s="9">
        <v>0.28871784900000003</v>
      </c>
      <c r="O17" s="9">
        <v>0.33776047158422201</v>
      </c>
      <c r="P17" s="9">
        <v>4.65E-2</v>
      </c>
      <c r="Q17" s="9">
        <v>0.40224604696501698</v>
      </c>
      <c r="R17" s="9">
        <v>0.14901566399999999</v>
      </c>
      <c r="S17" s="9">
        <v>2.4E-2</v>
      </c>
      <c r="T17" s="9">
        <v>4.46363355341826E-2</v>
      </c>
      <c r="U17" s="9">
        <v>1.5385386492588</v>
      </c>
      <c r="V17" s="9">
        <v>0.63649382032155999</v>
      </c>
      <c r="W17" s="9">
        <v>0.59958283713649496</v>
      </c>
      <c r="X17" s="9">
        <v>4.4846619690509799E-2</v>
      </c>
    </row>
    <row r="18" spans="1:24" s="9" customFormat="1">
      <c r="A18" s="9">
        <v>5</v>
      </c>
      <c r="B18" s="9">
        <v>0.157</v>
      </c>
      <c r="C18" s="9">
        <v>3.2066278191519801</v>
      </c>
      <c r="D18" s="9">
        <v>15</v>
      </c>
      <c r="E18" s="9">
        <v>1.6844640517920999</v>
      </c>
      <c r="F18" s="9">
        <v>0.46785462681664802</v>
      </c>
      <c r="G18" s="9">
        <v>2.01504878230761</v>
      </c>
      <c r="H18" s="9">
        <v>8.0803688256720296E-2</v>
      </c>
      <c r="I18" s="9">
        <v>7.1266090084911901E-2</v>
      </c>
      <c r="J18" s="9">
        <v>0.15206977834163199</v>
      </c>
      <c r="K18" s="9">
        <v>0.21507141850047901</v>
      </c>
      <c r="L18" s="9">
        <v>-0.47648843177420203</v>
      </c>
      <c r="M18" s="9">
        <v>4.98564466963166E-2</v>
      </c>
      <c r="N18" s="9">
        <v>0.30062250000000001</v>
      </c>
      <c r="O18" s="9">
        <v>0.35047894669631602</v>
      </c>
      <c r="P18" s="9">
        <v>4.65E-2</v>
      </c>
      <c r="Q18" s="9">
        <v>0.40224604696501698</v>
      </c>
      <c r="R18" s="9">
        <v>0.15515999999999999</v>
      </c>
      <c r="S18" s="9">
        <v>2.4E-2</v>
      </c>
      <c r="T18" s="9">
        <v>4.46363355341826E-2</v>
      </c>
      <c r="U18" s="9">
        <v>1.53856035053341</v>
      </c>
      <c r="V18" s="9">
        <v>0.65770872503794897</v>
      </c>
      <c r="W18" s="9">
        <v>0.57968802245958195</v>
      </c>
      <c r="X18" s="9">
        <v>4.3747342425018397E-2</v>
      </c>
    </row>
    <row r="19" spans="1:24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</row>
    <row r="20" spans="1:24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</row>
    <row r="21" spans="1:24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</row>
    <row r="22" spans="1:24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</row>
    <row r="23" spans="1:24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</row>
  </sheetData>
  <phoneticPr fontId="4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9E362-9B93-4F2B-B647-897BAE1B8817}">
  <sheetPr codeName="Sheet2"/>
  <dimension ref="A1:M86"/>
  <sheetViews>
    <sheetView workbookViewId="0">
      <selection activeCell="I53" sqref="I53"/>
    </sheetView>
  </sheetViews>
  <sheetFormatPr baseColWidth="10" defaultColWidth="9" defaultRowHeight="17"/>
  <cols>
    <col min="1" max="4" width="9" style="1"/>
    <col min="5" max="5" width="13.6640625" style="1" customWidth="1"/>
    <col min="6" max="6" width="18.1640625" style="1" customWidth="1"/>
    <col min="7" max="7" width="12.5" style="1" customWidth="1"/>
    <col min="8" max="16384" width="9" style="1"/>
  </cols>
  <sheetData>
    <row r="1" spans="1:13">
      <c r="A1" s="9" t="s">
        <v>47</v>
      </c>
      <c r="B1" s="9">
        <v>4.2</v>
      </c>
      <c r="C1" s="9" t="s">
        <v>201</v>
      </c>
      <c r="D1" s="55">
        <f>SUM(L3:L63)/SUM(M3:M63)</f>
        <v>0.39137681623824766</v>
      </c>
      <c r="E1" s="47" t="s">
        <v>204</v>
      </c>
      <c r="F1" s="9">
        <f>D1*I3*1000</f>
        <v>90.016667734796968</v>
      </c>
      <c r="G1" s="9"/>
      <c r="H1" s="9"/>
      <c r="I1" s="9"/>
      <c r="J1" s="9"/>
    </row>
    <row r="2" spans="1:13">
      <c r="A2" s="9" t="s">
        <v>45</v>
      </c>
      <c r="B2" s="9" t="s">
        <v>43</v>
      </c>
      <c r="C2" s="9" t="s">
        <v>42</v>
      </c>
      <c r="D2" s="9" t="s">
        <v>41</v>
      </c>
      <c r="E2" s="9" t="s">
        <v>40</v>
      </c>
      <c r="F2" s="9" t="s">
        <v>39</v>
      </c>
      <c r="G2" s="9" t="s">
        <v>38</v>
      </c>
      <c r="H2" s="9" t="s">
        <v>37</v>
      </c>
      <c r="I2" s="9" t="s">
        <v>46</v>
      </c>
      <c r="J2" s="9" t="s">
        <v>200</v>
      </c>
      <c r="K2" s="47" t="s">
        <v>199</v>
      </c>
      <c r="L2" s="47" t="s">
        <v>202</v>
      </c>
      <c r="M2" s="47" t="s">
        <v>203</v>
      </c>
    </row>
    <row r="3" spans="1:13" ht="20">
      <c r="A3" s="93">
        <v>0</v>
      </c>
      <c r="B3" s="93">
        <v>0.40881383999999998</v>
      </c>
      <c r="C3" s="93">
        <v>0.17503859999999999</v>
      </c>
      <c r="D3" s="93">
        <v>2.3878506700000002</v>
      </c>
      <c r="E3" s="93">
        <v>2.2201044200000002</v>
      </c>
      <c r="F3" s="93">
        <v>9.2524750000000003E-2</v>
      </c>
      <c r="G3" s="93">
        <v>2.317259E-2</v>
      </c>
      <c r="H3" s="93">
        <v>-0.11364730000000001</v>
      </c>
      <c r="I3" s="93">
        <v>0.23</v>
      </c>
      <c r="J3" s="9">
        <f>2*B3/$B$1/I3</f>
        <v>0.84640546583850917</v>
      </c>
      <c r="K3" s="1">
        <f>0.25-H3/J3</f>
        <v>0.38427051760282871</v>
      </c>
      <c r="L3" s="1">
        <f>K3*J3*I3</f>
        <v>7.480719328571428E-2</v>
      </c>
      <c r="M3" s="1">
        <f>J3*I3</f>
        <v>0.19467325714285713</v>
      </c>
    </row>
    <row r="4" spans="1:13" ht="20">
      <c r="A4" s="93">
        <v>0.01</v>
      </c>
      <c r="B4" s="93">
        <v>0.40877701999999999</v>
      </c>
      <c r="C4" s="93">
        <v>0.17510044999999999</v>
      </c>
      <c r="D4" s="93">
        <v>2.3886944400000001</v>
      </c>
      <c r="E4" s="93">
        <v>2.2199044699999999</v>
      </c>
      <c r="F4" s="93">
        <v>9.2549110000000004E-2</v>
      </c>
      <c r="G4" s="93">
        <v>2.3175970000000001E-2</v>
      </c>
      <c r="H4" s="93">
        <v>-0.11365119999999999</v>
      </c>
      <c r="I4" s="93">
        <v>0.23</v>
      </c>
      <c r="J4" s="9">
        <f t="shared" ref="J4:J47" si="0">2*B4/$B$1/I4</f>
        <v>0.84632923395445114</v>
      </c>
      <c r="K4" s="1">
        <f t="shared" ref="K4:K47" si="1">0.25-H4/J4</f>
        <v>0.38428721996163095</v>
      </c>
      <c r="L4" s="1">
        <f t="shared" ref="L4:L47" si="2">K4*J4*I4</f>
        <v>7.4803706952380936E-2</v>
      </c>
      <c r="M4" s="1">
        <f t="shared" ref="M4:M47" si="3">J4*I4</f>
        <v>0.19465572380952378</v>
      </c>
    </row>
    <row r="5" spans="1:13" ht="20">
      <c r="A5" s="93">
        <v>0.02</v>
      </c>
      <c r="B5" s="93">
        <v>0.40866667000000001</v>
      </c>
      <c r="C5" s="93">
        <v>0.17528582000000001</v>
      </c>
      <c r="D5" s="93">
        <v>2.3912233199999999</v>
      </c>
      <c r="E5" s="93">
        <v>2.2193052099999999</v>
      </c>
      <c r="F5" s="93">
        <v>9.2622079999999996E-2</v>
      </c>
      <c r="G5" s="93">
        <v>2.3186100000000001E-2</v>
      </c>
      <c r="H5" s="93">
        <v>-0.113663</v>
      </c>
      <c r="I5" s="93">
        <v>0.23</v>
      </c>
      <c r="J5" s="9">
        <f t="shared" si="0"/>
        <v>0.84610076604554851</v>
      </c>
      <c r="K5" s="1">
        <f t="shared" si="1"/>
        <v>0.38433742712612218</v>
      </c>
      <c r="L5" s="1">
        <f t="shared" si="2"/>
        <v>7.4793284047619049E-2</v>
      </c>
      <c r="M5" s="1">
        <f t="shared" si="3"/>
        <v>0.19460317619047618</v>
      </c>
    </row>
    <row r="6" spans="1:13" ht="20">
      <c r="A6" s="93">
        <v>0.03</v>
      </c>
      <c r="B6" s="93">
        <v>0.40848234</v>
      </c>
      <c r="C6" s="93">
        <v>0.17559548</v>
      </c>
      <c r="D6" s="93">
        <v>2.3954475799999999</v>
      </c>
      <c r="E6" s="93">
        <v>2.2183041999999999</v>
      </c>
      <c r="F6" s="93">
        <v>9.2743850000000003E-2</v>
      </c>
      <c r="G6" s="93">
        <v>2.3203020000000001E-2</v>
      </c>
      <c r="H6" s="93">
        <v>-0.1136827</v>
      </c>
      <c r="I6" s="93">
        <v>0.23</v>
      </c>
      <c r="J6" s="9">
        <f t="shared" si="0"/>
        <v>0.84571913043478264</v>
      </c>
      <c r="K6" s="1">
        <f t="shared" si="1"/>
        <v>0.38442134144648699</v>
      </c>
      <c r="L6" s="1">
        <f t="shared" si="2"/>
        <v>7.4775870999999994E-2</v>
      </c>
      <c r="M6" s="1">
        <f t="shared" si="3"/>
        <v>0.1945154</v>
      </c>
    </row>
    <row r="7" spans="1:13" ht="20">
      <c r="A7" s="93">
        <v>0.04</v>
      </c>
      <c r="B7" s="93">
        <v>0.40822328000000002</v>
      </c>
      <c r="C7" s="93">
        <v>0.17603067</v>
      </c>
      <c r="D7" s="93">
        <v>2.4013844099999999</v>
      </c>
      <c r="E7" s="93">
        <v>2.2168973699999999</v>
      </c>
      <c r="F7" s="93">
        <v>9.2914739999999996E-2</v>
      </c>
      <c r="G7" s="93">
        <v>2.3226799999999999E-2</v>
      </c>
      <c r="H7" s="93">
        <v>-0.1137104</v>
      </c>
      <c r="I7" s="93">
        <v>0.23</v>
      </c>
      <c r="J7" s="9">
        <f t="shared" si="0"/>
        <v>0.84518277432712208</v>
      </c>
      <c r="K7" s="1">
        <f t="shared" si="1"/>
        <v>0.38453941970188477</v>
      </c>
      <c r="L7" s="1">
        <f t="shared" si="2"/>
        <v>7.4751401523809533E-2</v>
      </c>
      <c r="M7" s="1">
        <f t="shared" si="3"/>
        <v>0.19439203809523808</v>
      </c>
    </row>
    <row r="8" spans="1:13" ht="20">
      <c r="A8" s="93">
        <v>0.05</v>
      </c>
      <c r="B8" s="93">
        <v>0.40788844000000002</v>
      </c>
      <c r="C8" s="93">
        <v>0.17659317999999999</v>
      </c>
      <c r="D8" s="93">
        <v>2.4090581000000002</v>
      </c>
      <c r="E8" s="93">
        <v>2.21507896</v>
      </c>
      <c r="F8" s="93">
        <v>9.3135200000000001E-2</v>
      </c>
      <c r="G8" s="93">
        <v>2.325754E-2</v>
      </c>
      <c r="H8" s="93">
        <v>-0.1137461</v>
      </c>
      <c r="I8" s="93">
        <v>0.23</v>
      </c>
      <c r="J8" s="9">
        <f t="shared" si="0"/>
        <v>0.8444895238095238</v>
      </c>
      <c r="K8" s="1">
        <f t="shared" si="1"/>
        <v>0.38469213861515661</v>
      </c>
      <c r="L8" s="1">
        <f t="shared" si="2"/>
        <v>7.4719750619047606E-2</v>
      </c>
      <c r="M8" s="1">
        <f t="shared" si="3"/>
        <v>0.19423259047619049</v>
      </c>
    </row>
    <row r="9" spans="1:13" ht="20">
      <c r="A9" s="93">
        <v>0.06</v>
      </c>
      <c r="B9" s="93">
        <v>0.40747642000000001</v>
      </c>
      <c r="C9" s="93">
        <v>0.17728534000000001</v>
      </c>
      <c r="D9" s="93">
        <v>2.4185003599999999</v>
      </c>
      <c r="E9" s="93">
        <v>2.2128414599999999</v>
      </c>
      <c r="F9" s="93">
        <v>9.3405790000000002E-2</v>
      </c>
      <c r="G9" s="93">
        <v>2.3295360000000001E-2</v>
      </c>
      <c r="H9" s="93">
        <v>-0.11379019999999999</v>
      </c>
      <c r="I9" s="93">
        <v>0.23</v>
      </c>
      <c r="J9" s="9">
        <f t="shared" si="0"/>
        <v>0.84363648033126293</v>
      </c>
      <c r="K9" s="1">
        <f t="shared" si="1"/>
        <v>0.38488060634281607</v>
      </c>
      <c r="L9" s="1">
        <f t="shared" si="2"/>
        <v>7.4680843619047615E-2</v>
      </c>
      <c r="M9" s="1">
        <f t="shared" si="3"/>
        <v>0.19403639047619048</v>
      </c>
    </row>
    <row r="10" spans="1:13" ht="20">
      <c r="A10" s="93">
        <v>7.0000000000000007E-2</v>
      </c>
      <c r="B10" s="93">
        <v>0.40698550999999999</v>
      </c>
      <c r="C10" s="93">
        <v>0.17811002000000001</v>
      </c>
      <c r="D10" s="93">
        <v>2.42975063</v>
      </c>
      <c r="E10" s="93">
        <v>2.2101755199999999</v>
      </c>
      <c r="F10" s="93">
        <v>9.3727240000000003E-2</v>
      </c>
      <c r="G10" s="93">
        <v>2.3340420000000001E-2</v>
      </c>
      <c r="H10" s="93">
        <v>-0.1138426</v>
      </c>
      <c r="I10" s="93">
        <v>0.23</v>
      </c>
      <c r="J10" s="9">
        <f t="shared" si="0"/>
        <v>0.84262010351966865</v>
      </c>
      <c r="K10" s="1">
        <f t="shared" si="1"/>
        <v>0.38510548766220204</v>
      </c>
      <c r="L10" s="1">
        <f t="shared" si="2"/>
        <v>7.4634453952380941E-2</v>
      </c>
      <c r="M10" s="1">
        <f t="shared" si="3"/>
        <v>0.19380262380952379</v>
      </c>
    </row>
    <row r="11" spans="1:13" ht="20">
      <c r="A11" s="93">
        <v>0.08</v>
      </c>
      <c r="B11" s="93">
        <v>0.40641361999999998</v>
      </c>
      <c r="C11" s="93">
        <v>0.17907074000000001</v>
      </c>
      <c r="D11" s="93">
        <v>2.4428566300000001</v>
      </c>
      <c r="E11" s="93">
        <v>2.20706983</v>
      </c>
      <c r="F11" s="93">
        <v>9.4100390000000006E-2</v>
      </c>
      <c r="G11" s="93">
        <v>2.339374E-2</v>
      </c>
      <c r="H11" s="93">
        <v>-0.1139081</v>
      </c>
      <c r="I11" s="93">
        <v>0.23</v>
      </c>
      <c r="J11" s="9">
        <f t="shared" si="0"/>
        <v>0.84143606625258793</v>
      </c>
      <c r="K11" s="1">
        <f t="shared" si="1"/>
        <v>0.38537344614582553</v>
      </c>
      <c r="L11" s="1">
        <f t="shared" si="2"/>
        <v>7.458143680952381E-2</v>
      </c>
      <c r="M11" s="1">
        <f t="shared" si="3"/>
        <v>0.19353029523809523</v>
      </c>
    </row>
    <row r="12" spans="1:13" ht="20">
      <c r="A12" s="93">
        <v>0.09</v>
      </c>
      <c r="B12" s="93">
        <v>0.40575808000000002</v>
      </c>
      <c r="C12" s="93">
        <v>0.18017199</v>
      </c>
      <c r="D12" s="93">
        <v>2.4578797099999998</v>
      </c>
      <c r="E12" s="93">
        <v>2.20350986</v>
      </c>
      <c r="F12" s="93">
        <v>9.4526369999999998E-2</v>
      </c>
      <c r="G12" s="93">
        <v>2.3456970000000001E-2</v>
      </c>
      <c r="H12" s="93">
        <v>-0.11399430000000001</v>
      </c>
      <c r="I12" s="93">
        <v>0.23</v>
      </c>
      <c r="J12" s="9">
        <f t="shared" si="0"/>
        <v>0.84007884057971016</v>
      </c>
      <c r="K12" s="1">
        <f t="shared" si="1"/>
        <v>0.38569476398350466</v>
      </c>
      <c r="L12" s="1">
        <f t="shared" si="2"/>
        <v>7.4523222333333333E-2</v>
      </c>
      <c r="M12" s="1">
        <f t="shared" si="3"/>
        <v>0.19321813333333335</v>
      </c>
    </row>
    <row r="13" spans="1:13" ht="20">
      <c r="A13" s="93">
        <v>0.1</v>
      </c>
      <c r="B13" s="93">
        <v>0.40501579999999998</v>
      </c>
      <c r="C13" s="93">
        <v>0.18141895999999999</v>
      </c>
      <c r="D13" s="93">
        <v>2.4748906800000001</v>
      </c>
      <c r="E13" s="93">
        <v>2.1994788199999999</v>
      </c>
      <c r="F13" s="93">
        <v>9.5006460000000001E-2</v>
      </c>
      <c r="G13" s="93">
        <v>2.352856E-2</v>
      </c>
      <c r="H13" s="93">
        <v>-0.11409179999999999</v>
      </c>
      <c r="I13" s="93">
        <v>0.23</v>
      </c>
      <c r="J13" s="9">
        <f t="shared" si="0"/>
        <v>0.83854202898550712</v>
      </c>
      <c r="K13" s="1">
        <f t="shared" si="1"/>
        <v>0.38605972754643153</v>
      </c>
      <c r="L13" s="1">
        <f t="shared" si="2"/>
        <v>7.4457280666666667E-2</v>
      </c>
      <c r="M13" s="1">
        <f t="shared" si="3"/>
        <v>0.19286466666666666</v>
      </c>
    </row>
    <row r="14" spans="1:13" ht="20">
      <c r="A14" s="93">
        <v>0.11</v>
      </c>
      <c r="B14" s="93">
        <v>0.40418373000000002</v>
      </c>
      <c r="C14" s="93">
        <v>0.18281676999999999</v>
      </c>
      <c r="D14" s="93">
        <v>2.4939593900000001</v>
      </c>
      <c r="E14" s="93">
        <v>2.1949601699999999</v>
      </c>
      <c r="F14" s="93">
        <v>9.5541780000000007E-2</v>
      </c>
      <c r="G14" s="93">
        <v>2.3608819999999999E-2</v>
      </c>
      <c r="H14" s="93">
        <v>-0.1142012</v>
      </c>
      <c r="I14" s="93">
        <v>0.23</v>
      </c>
      <c r="J14" s="9">
        <f t="shared" si="0"/>
        <v>0.83681931677018628</v>
      </c>
      <c r="K14" s="1">
        <f t="shared" si="1"/>
        <v>0.38647055906975769</v>
      </c>
      <c r="L14" s="1">
        <f t="shared" si="2"/>
        <v>7.438338671428571E-2</v>
      </c>
      <c r="M14" s="1">
        <f t="shared" si="3"/>
        <v>0.19246844285714285</v>
      </c>
    </row>
    <row r="15" spans="1:13" ht="20">
      <c r="A15" s="93">
        <v>0.12</v>
      </c>
      <c r="B15" s="93">
        <v>0.40325799000000001</v>
      </c>
      <c r="C15" s="93">
        <v>0.18437192999999999</v>
      </c>
      <c r="D15" s="93">
        <v>2.5151746300000002</v>
      </c>
      <c r="E15" s="93">
        <v>2.1899328599999999</v>
      </c>
      <c r="F15" s="93">
        <v>9.6133830000000003E-2</v>
      </c>
      <c r="G15" s="93">
        <v>2.3698110000000001E-2</v>
      </c>
      <c r="H15" s="93">
        <v>-0.11432290000000001</v>
      </c>
      <c r="I15" s="93">
        <v>0.23</v>
      </c>
      <c r="J15" s="9">
        <f t="shared" si="0"/>
        <v>0.83490267080745328</v>
      </c>
      <c r="K15" s="1">
        <f t="shared" si="1"/>
        <v>0.38692961347151489</v>
      </c>
      <c r="L15" s="1">
        <f t="shared" si="2"/>
        <v>7.4301170571428571E-2</v>
      </c>
      <c r="M15" s="1">
        <f t="shared" si="3"/>
        <v>0.19202761428571427</v>
      </c>
    </row>
    <row r="16" spans="1:13" ht="20">
      <c r="A16" s="93">
        <v>0.13</v>
      </c>
      <c r="B16" s="93">
        <v>0.40223415000000001</v>
      </c>
      <c r="C16" s="93">
        <v>0.18609191</v>
      </c>
      <c r="D16" s="93">
        <v>2.5386383000000001</v>
      </c>
      <c r="E16" s="93">
        <v>2.1843727500000001</v>
      </c>
      <c r="F16" s="93">
        <v>9.6784300000000004E-2</v>
      </c>
      <c r="G16" s="93">
        <v>2.379686E-2</v>
      </c>
      <c r="H16" s="93">
        <v>-0.11445760000000001</v>
      </c>
      <c r="I16" s="93">
        <v>0.23</v>
      </c>
      <c r="J16" s="9">
        <f t="shared" si="0"/>
        <v>0.83278291925465842</v>
      </c>
      <c r="K16" s="1">
        <f t="shared" si="1"/>
        <v>0.38743989862621064</v>
      </c>
      <c r="L16" s="1">
        <f t="shared" si="2"/>
        <v>7.4210265857142868E-2</v>
      </c>
      <c r="M16" s="1">
        <f t="shared" si="3"/>
        <v>0.19154007142857143</v>
      </c>
    </row>
    <row r="17" spans="1:13" ht="20">
      <c r="A17" s="93">
        <v>0.14000000000000001</v>
      </c>
      <c r="B17" s="93">
        <v>0.40110620000000002</v>
      </c>
      <c r="C17" s="93">
        <v>0.18798676</v>
      </c>
      <c r="D17" s="93">
        <v>2.5644876600000002</v>
      </c>
      <c r="E17" s="93">
        <v>2.1782473100000002</v>
      </c>
      <c r="F17" s="93">
        <v>9.7495609999999996E-2</v>
      </c>
      <c r="G17" s="93">
        <v>2.3905650000000001E-2</v>
      </c>
      <c r="H17" s="93">
        <v>-0.1146059</v>
      </c>
      <c r="I17" s="93">
        <v>0.23</v>
      </c>
      <c r="J17" s="9">
        <f t="shared" si="0"/>
        <v>0.83044761904761899</v>
      </c>
      <c r="K17" s="1">
        <f t="shared" si="1"/>
        <v>0.38800497150131313</v>
      </c>
      <c r="L17" s="1">
        <f t="shared" si="2"/>
        <v>7.4110095095238096E-2</v>
      </c>
      <c r="M17" s="1">
        <f t="shared" si="3"/>
        <v>0.19100295238095238</v>
      </c>
    </row>
    <row r="18" spans="1:13" ht="20">
      <c r="A18" s="93">
        <v>0.15</v>
      </c>
      <c r="B18" s="93">
        <v>0.39986877999999998</v>
      </c>
      <c r="C18" s="93">
        <v>0.19006551999999999</v>
      </c>
      <c r="D18" s="93">
        <v>2.5928457300000001</v>
      </c>
      <c r="E18" s="93">
        <v>2.1715273900000001</v>
      </c>
      <c r="F18" s="93">
        <v>9.8269609999999993E-2</v>
      </c>
      <c r="G18" s="93">
        <v>2.4025000000000001E-2</v>
      </c>
      <c r="H18" s="93">
        <v>-0.1147685</v>
      </c>
      <c r="I18" s="93">
        <v>0.23</v>
      </c>
      <c r="J18" s="9">
        <f t="shared" si="0"/>
        <v>0.82788567287784676</v>
      </c>
      <c r="K18" s="1">
        <f t="shared" si="1"/>
        <v>0.38862844081000769</v>
      </c>
      <c r="L18" s="1">
        <f t="shared" si="2"/>
        <v>7.4000181190476189E-2</v>
      </c>
      <c r="M18" s="1">
        <f t="shared" si="3"/>
        <v>0.19041370476190475</v>
      </c>
    </row>
    <row r="19" spans="1:13" ht="20">
      <c r="A19" s="93">
        <v>0.16</v>
      </c>
      <c r="B19" s="93">
        <v>0.39851535999999999</v>
      </c>
      <c r="C19" s="93">
        <v>0.19233913999999999</v>
      </c>
      <c r="D19" s="93">
        <v>2.6238621700000002</v>
      </c>
      <c r="E19" s="93">
        <v>2.16417752</v>
      </c>
      <c r="F19" s="93">
        <v>9.9108570000000007E-2</v>
      </c>
      <c r="G19" s="93">
        <v>2.415554E-2</v>
      </c>
      <c r="H19" s="93">
        <v>-0.11494649999999999</v>
      </c>
      <c r="I19" s="93">
        <v>0.23</v>
      </c>
      <c r="J19" s="9">
        <f t="shared" si="0"/>
        <v>0.82508356107660452</v>
      </c>
      <c r="K19" s="1">
        <f t="shared" si="1"/>
        <v>0.38931498023062394</v>
      </c>
      <c r="L19" s="1">
        <f t="shared" si="2"/>
        <v>7.3879999761904749E-2</v>
      </c>
      <c r="M19" s="1">
        <f t="shared" si="3"/>
        <v>0.18976921904761904</v>
      </c>
    </row>
    <row r="20" spans="1:13" ht="20">
      <c r="A20" s="93">
        <v>0.17</v>
      </c>
      <c r="B20" s="93">
        <v>0.39703684</v>
      </c>
      <c r="C20" s="93">
        <v>0.19482294</v>
      </c>
      <c r="D20" s="93">
        <v>2.6577457600000001</v>
      </c>
      <c r="E20" s="93">
        <v>2.1561482399999998</v>
      </c>
      <c r="F20" s="93">
        <v>0.10001595000000001</v>
      </c>
      <c r="G20" s="93">
        <v>2.4298139999999999E-2</v>
      </c>
      <c r="H20" s="93">
        <v>-0.1151409</v>
      </c>
      <c r="I20" s="93">
        <v>0.23</v>
      </c>
      <c r="J20" s="9">
        <f t="shared" si="0"/>
        <v>0.82202244306418204</v>
      </c>
      <c r="K20" s="1">
        <f t="shared" si="1"/>
        <v>0.39007026325315308</v>
      </c>
      <c r="L20" s="1">
        <f t="shared" si="2"/>
        <v>7.3748697476190478E-2</v>
      </c>
      <c r="M20" s="1">
        <f t="shared" si="3"/>
        <v>0.18906516190476189</v>
      </c>
    </row>
    <row r="21" spans="1:13" ht="20">
      <c r="A21" s="93">
        <v>0.18</v>
      </c>
      <c r="B21" s="93">
        <v>0.39542474</v>
      </c>
      <c r="C21" s="93">
        <v>0.19753111000000001</v>
      </c>
      <c r="D21" s="93">
        <v>2.6946902599999998</v>
      </c>
      <c r="E21" s="93">
        <v>2.1473936199999999</v>
      </c>
      <c r="F21" s="93">
        <v>0.1009945</v>
      </c>
      <c r="G21" s="93">
        <v>2.4453630000000001E-2</v>
      </c>
      <c r="H21" s="93">
        <v>-0.11535280000000001</v>
      </c>
      <c r="I21" s="93">
        <v>0.23</v>
      </c>
      <c r="J21" s="9">
        <f t="shared" si="0"/>
        <v>0.8186847619047618</v>
      </c>
      <c r="K21" s="1">
        <f t="shared" si="1"/>
        <v>0.39090014297031594</v>
      </c>
      <c r="L21" s="1">
        <f t="shared" si="2"/>
        <v>7.3605517809523804E-2</v>
      </c>
      <c r="M21" s="1">
        <f t="shared" si="3"/>
        <v>0.18829749523809522</v>
      </c>
    </row>
    <row r="22" spans="1:13" ht="20">
      <c r="A22" s="93">
        <v>0.19</v>
      </c>
      <c r="B22" s="93">
        <v>0.39366780000000001</v>
      </c>
      <c r="C22" s="93">
        <v>0.20048263</v>
      </c>
      <c r="D22" s="93">
        <v>2.73495446</v>
      </c>
      <c r="E22" s="93">
        <v>2.1378523399999998</v>
      </c>
      <c r="F22" s="93">
        <v>0.10204812000000001</v>
      </c>
      <c r="G22" s="93">
        <v>2.462309E-2</v>
      </c>
      <c r="H22" s="93">
        <v>-0.1155838</v>
      </c>
      <c r="I22" s="93">
        <v>0.23</v>
      </c>
      <c r="J22" s="9">
        <f t="shared" si="0"/>
        <v>0.81504720496894412</v>
      </c>
      <c r="K22" s="1">
        <f t="shared" si="1"/>
        <v>0.39181239969334547</v>
      </c>
      <c r="L22" s="1">
        <f t="shared" si="2"/>
        <v>7.3449488285714279E-2</v>
      </c>
      <c r="M22" s="1">
        <f t="shared" si="3"/>
        <v>0.18746085714285715</v>
      </c>
    </row>
    <row r="23" spans="1:13" ht="20">
      <c r="A23" s="93">
        <v>0.2</v>
      </c>
      <c r="B23" s="93">
        <v>0.39175260000000001</v>
      </c>
      <c r="C23" s="93">
        <v>0.20369999999999999</v>
      </c>
      <c r="D23" s="93">
        <v>2.7788453199999998</v>
      </c>
      <c r="E23" s="93">
        <v>2.1274516600000002</v>
      </c>
      <c r="F23" s="93">
        <v>0.10318135000000001</v>
      </c>
      <c r="G23" s="93">
        <v>2.480781E-2</v>
      </c>
      <c r="H23" s="93">
        <v>-0.1158356</v>
      </c>
      <c r="I23" s="93">
        <v>0.23</v>
      </c>
      <c r="J23" s="9">
        <f t="shared" si="0"/>
        <v>0.81108198757763961</v>
      </c>
      <c r="K23" s="1">
        <f t="shared" si="1"/>
        <v>0.39281614161590761</v>
      </c>
      <c r="L23" s="1">
        <f t="shared" si="2"/>
        <v>7.3279402285714279E-2</v>
      </c>
      <c r="M23" s="1">
        <f t="shared" si="3"/>
        <v>0.18654885714285713</v>
      </c>
    </row>
    <row r="24" spans="1:13" ht="20">
      <c r="A24" s="93">
        <v>0.21</v>
      </c>
      <c r="B24" s="93">
        <v>0.38966314000000002</v>
      </c>
      <c r="C24" s="93">
        <v>0.20721011</v>
      </c>
      <c r="D24" s="93">
        <v>2.8267297199999999</v>
      </c>
      <c r="E24" s="93">
        <v>2.11610465</v>
      </c>
      <c r="F24" s="93">
        <v>0.10439952</v>
      </c>
      <c r="G24" s="93">
        <v>2.5009340000000001E-2</v>
      </c>
      <c r="H24" s="93">
        <v>-0.1161103</v>
      </c>
      <c r="I24" s="93">
        <v>0.23</v>
      </c>
      <c r="J24" s="9">
        <f t="shared" si="0"/>
        <v>0.80675598343685295</v>
      </c>
      <c r="K24" s="1">
        <f t="shared" si="1"/>
        <v>0.39392245286531336</v>
      </c>
      <c r="L24" s="1">
        <f t="shared" si="2"/>
        <v>7.3093838047619042E-2</v>
      </c>
      <c r="M24" s="1">
        <f t="shared" si="3"/>
        <v>0.1855538761904762</v>
      </c>
    </row>
    <row r="25" spans="1:13" ht="20">
      <c r="A25" s="93">
        <v>0.22</v>
      </c>
      <c r="B25" s="93">
        <v>0.38737979</v>
      </c>
      <c r="C25" s="93">
        <v>0.21104595000000001</v>
      </c>
      <c r="D25" s="93">
        <v>2.8790576200000002</v>
      </c>
      <c r="E25" s="93">
        <v>2.1037046699999999</v>
      </c>
      <c r="F25" s="93">
        <v>0.10570911</v>
      </c>
      <c r="G25" s="93">
        <v>2.5207719999999999E-2</v>
      </c>
      <c r="H25" s="93">
        <v>-0.1163401</v>
      </c>
      <c r="I25" s="93">
        <v>0.23</v>
      </c>
      <c r="J25" s="9">
        <f t="shared" si="0"/>
        <v>0.80202855072463763</v>
      </c>
      <c r="K25" s="1">
        <f t="shared" si="1"/>
        <v>0.39505730487385521</v>
      </c>
      <c r="L25" s="1">
        <f t="shared" si="2"/>
        <v>7.2874864666666664E-2</v>
      </c>
      <c r="M25" s="1">
        <f t="shared" si="3"/>
        <v>0.18446656666666666</v>
      </c>
    </row>
    <row r="26" spans="1:13" ht="20">
      <c r="A26" s="93">
        <v>0.23</v>
      </c>
      <c r="B26" s="93">
        <v>0.38487363000000002</v>
      </c>
      <c r="C26" s="93">
        <v>0.21525607999999999</v>
      </c>
      <c r="D26" s="93">
        <v>2.9364916299999999</v>
      </c>
      <c r="E26" s="93">
        <v>2.0900947200000002</v>
      </c>
      <c r="F26" s="93">
        <v>0.10712028</v>
      </c>
      <c r="G26" s="93">
        <v>2.541504E-2</v>
      </c>
      <c r="H26" s="93">
        <v>-0.1165552</v>
      </c>
      <c r="I26" s="93">
        <v>0.23</v>
      </c>
      <c r="J26" s="9">
        <f t="shared" si="0"/>
        <v>0.79683981366459622</v>
      </c>
      <c r="K26" s="1">
        <f t="shared" si="1"/>
        <v>0.39627180770997483</v>
      </c>
      <c r="L26" s="1">
        <f t="shared" si="2"/>
        <v>7.2625985285714276E-2</v>
      </c>
      <c r="M26" s="1">
        <f t="shared" si="3"/>
        <v>0.18327315714285713</v>
      </c>
    </row>
    <row r="27" spans="1:13" ht="20">
      <c r="A27" s="93">
        <v>0.24</v>
      </c>
      <c r="B27" s="93">
        <v>0.38210712000000002</v>
      </c>
      <c r="C27" s="93">
        <v>0.21990356999999999</v>
      </c>
      <c r="D27" s="93">
        <v>2.9998919700000002</v>
      </c>
      <c r="E27" s="93">
        <v>2.0750709399999998</v>
      </c>
      <c r="F27" s="93">
        <v>0.10864641</v>
      </c>
      <c r="G27" s="93">
        <v>2.56464E-2</v>
      </c>
      <c r="H27" s="93">
        <v>-0.11654680000000001</v>
      </c>
      <c r="I27" s="93">
        <v>0.23</v>
      </c>
      <c r="J27" s="9">
        <f t="shared" si="0"/>
        <v>0.79111204968944104</v>
      </c>
      <c r="K27" s="1">
        <f t="shared" si="1"/>
        <v>0.39732021847695487</v>
      </c>
      <c r="L27" s="1">
        <f t="shared" si="2"/>
        <v>7.2294706857142871E-2</v>
      </c>
      <c r="M27" s="1">
        <f t="shared" si="3"/>
        <v>0.18195577142857144</v>
      </c>
    </row>
    <row r="28" spans="1:13" ht="20">
      <c r="A28" s="93">
        <v>0.25</v>
      </c>
      <c r="B28" s="93">
        <v>0.37900476999999999</v>
      </c>
      <c r="C28" s="93">
        <v>0.22486997</v>
      </c>
      <c r="D28" s="93">
        <v>3.0676428699999998</v>
      </c>
      <c r="E28" s="93">
        <v>2.05822328</v>
      </c>
      <c r="F28" s="93">
        <v>0.11019822999999999</v>
      </c>
      <c r="G28" s="93">
        <v>2.5901839999999999E-2</v>
      </c>
      <c r="H28" s="93">
        <v>-0.1165273</v>
      </c>
      <c r="I28" s="93">
        <v>0.22992018</v>
      </c>
      <c r="J28" s="9">
        <f t="shared" si="0"/>
        <v>0.78496138053111253</v>
      </c>
      <c r="K28" s="1">
        <f t="shared" si="1"/>
        <v>0.39844972362991471</v>
      </c>
      <c r="L28" s="1">
        <f t="shared" si="2"/>
        <v>7.1911593267104459E-2</v>
      </c>
      <c r="M28" s="1">
        <f t="shared" si="3"/>
        <v>0.18047846190476188</v>
      </c>
    </row>
    <row r="29" spans="1:13" ht="20">
      <c r="A29" s="93">
        <v>0.26</v>
      </c>
      <c r="B29" s="93">
        <v>0.37543271</v>
      </c>
      <c r="C29" s="93">
        <v>0.22373186</v>
      </c>
      <c r="D29" s="93">
        <v>3.0521169499999998</v>
      </c>
      <c r="E29" s="93">
        <v>2.0388248899999999</v>
      </c>
      <c r="F29" s="93">
        <v>0.10860719000000001</v>
      </c>
      <c r="G29" s="93">
        <v>2.6079390000000001E-2</v>
      </c>
      <c r="H29" s="93">
        <v>-0.1166304</v>
      </c>
      <c r="I29" s="93">
        <v>0.2276</v>
      </c>
      <c r="J29" s="9">
        <f t="shared" si="0"/>
        <v>0.78548981086283365</v>
      </c>
      <c r="K29" s="1">
        <f t="shared" si="1"/>
        <v>0.39848111125959162</v>
      </c>
      <c r="L29" s="1">
        <f t="shared" si="2"/>
        <v>7.1239449278095224E-2</v>
      </c>
      <c r="M29" s="1">
        <f t="shared" si="3"/>
        <v>0.17877748095238094</v>
      </c>
    </row>
    <row r="30" spans="1:13" ht="20">
      <c r="A30" s="93">
        <v>0.27</v>
      </c>
      <c r="B30" s="93">
        <v>0.37149293999999999</v>
      </c>
      <c r="C30" s="93">
        <v>0.22230517</v>
      </c>
      <c r="D30" s="93">
        <v>3.0326543099999999</v>
      </c>
      <c r="E30" s="93">
        <v>2.0174295400000002</v>
      </c>
      <c r="F30" s="93">
        <v>0.10678217</v>
      </c>
      <c r="G30" s="93">
        <v>2.6250619999999999E-2</v>
      </c>
      <c r="H30" s="93">
        <v>-0.1167381</v>
      </c>
      <c r="I30" s="93">
        <v>0.22520000000000001</v>
      </c>
      <c r="J30" s="9">
        <f t="shared" si="0"/>
        <v>0.78553019538188262</v>
      </c>
      <c r="K30" s="1">
        <f t="shared" si="1"/>
        <v>0.39861058261833993</v>
      </c>
      <c r="L30" s="1">
        <f t="shared" si="2"/>
        <v>7.0514770119999987E-2</v>
      </c>
      <c r="M30" s="1">
        <f t="shared" si="3"/>
        <v>0.17690139999999999</v>
      </c>
    </row>
    <row r="31" spans="1:13" ht="20">
      <c r="A31" s="93">
        <v>0.28000000000000003</v>
      </c>
      <c r="B31" s="93">
        <v>0.36725795999999999</v>
      </c>
      <c r="C31" s="93">
        <v>0.22133896</v>
      </c>
      <c r="D31" s="93">
        <v>3.0194733899999999</v>
      </c>
      <c r="E31" s="93">
        <v>1.99443108</v>
      </c>
      <c r="F31" s="93">
        <v>0.10510604</v>
      </c>
      <c r="G31" s="93">
        <v>2.644755E-2</v>
      </c>
      <c r="H31" s="93">
        <v>-0.1168303</v>
      </c>
      <c r="I31" s="93">
        <v>0.2228</v>
      </c>
      <c r="J31" s="9">
        <f t="shared" si="0"/>
        <v>0.78494049756347772</v>
      </c>
      <c r="K31" s="1">
        <f t="shared" si="1"/>
        <v>0.39883968958494465</v>
      </c>
      <c r="L31" s="1">
        <f t="shared" si="2"/>
        <v>6.9750976554285707E-2</v>
      </c>
      <c r="M31" s="1">
        <f t="shared" si="3"/>
        <v>0.17488474285714284</v>
      </c>
    </row>
    <row r="32" spans="1:13" ht="20">
      <c r="A32" s="93">
        <v>0.28999999999999998</v>
      </c>
      <c r="B32" s="93">
        <v>0.36276440999999998</v>
      </c>
      <c r="C32" s="93">
        <v>0.22100998999999999</v>
      </c>
      <c r="D32" s="93">
        <v>3.0149855900000002</v>
      </c>
      <c r="E32" s="93">
        <v>1.9700284299999999</v>
      </c>
      <c r="F32" s="93">
        <v>0.10366570999999999</v>
      </c>
      <c r="G32" s="93">
        <v>2.674174E-2</v>
      </c>
      <c r="H32" s="93">
        <v>-0.1166022</v>
      </c>
      <c r="I32" s="93">
        <v>0.22040000000000001</v>
      </c>
      <c r="J32" s="9">
        <f t="shared" si="0"/>
        <v>0.7837792973813843</v>
      </c>
      <c r="K32" s="1">
        <f t="shared" si="1"/>
        <v>0.39876917569725212</v>
      </c>
      <c r="L32" s="1">
        <f t="shared" si="2"/>
        <v>6.8885364165714266E-2</v>
      </c>
      <c r="M32" s="1">
        <f t="shared" si="3"/>
        <v>0.17274495714285712</v>
      </c>
    </row>
    <row r="33" spans="1:13" ht="20">
      <c r="A33" s="93">
        <v>0.3</v>
      </c>
      <c r="B33" s="93">
        <v>0.35803537000000002</v>
      </c>
      <c r="C33" s="93">
        <v>0.22132816</v>
      </c>
      <c r="D33" s="93">
        <v>3.0193261200000001</v>
      </c>
      <c r="E33" s="93">
        <v>1.94434689</v>
      </c>
      <c r="F33" s="93">
        <v>0.10246155</v>
      </c>
      <c r="G33" s="93">
        <v>2.7069280000000001E-2</v>
      </c>
      <c r="H33" s="93">
        <v>-0.11636580000000001</v>
      </c>
      <c r="I33" s="93">
        <v>0.218</v>
      </c>
      <c r="J33" s="9">
        <f t="shared" si="0"/>
        <v>0.78207813455657504</v>
      </c>
      <c r="K33" s="1">
        <f t="shared" si="1"/>
        <v>0.3987905042454325</v>
      </c>
      <c r="L33" s="1">
        <f t="shared" si="2"/>
        <v>6.7991002733333347E-2</v>
      </c>
      <c r="M33" s="1">
        <f t="shared" si="3"/>
        <v>0.17049303333333335</v>
      </c>
    </row>
    <row r="34" spans="1:13" ht="20">
      <c r="A34" s="93">
        <v>0.31</v>
      </c>
      <c r="B34" s="93">
        <v>0.35309041000000002</v>
      </c>
      <c r="C34" s="93">
        <v>0.22350892</v>
      </c>
      <c r="D34" s="93">
        <v>3.0490756399999999</v>
      </c>
      <c r="E34" s="93">
        <v>1.9174928</v>
      </c>
      <c r="F34" s="93">
        <v>0.10204202</v>
      </c>
      <c r="G34" s="93">
        <v>2.7489590000000001E-2</v>
      </c>
      <c r="H34" s="93">
        <v>-0.1161209</v>
      </c>
      <c r="I34" s="93">
        <v>0.21560000000000001</v>
      </c>
      <c r="J34" s="9">
        <f t="shared" si="0"/>
        <v>0.77986220072444556</v>
      </c>
      <c r="K34" s="1">
        <f t="shared" si="1"/>
        <v>0.39889925411454819</v>
      </c>
      <c r="L34" s="1">
        <f t="shared" si="2"/>
        <v>6.7070238659047626E-2</v>
      </c>
      <c r="M34" s="1">
        <f t="shared" si="3"/>
        <v>0.16813829047619047</v>
      </c>
    </row>
    <row r="35" spans="1:13" ht="20">
      <c r="A35" s="93">
        <v>0.32</v>
      </c>
      <c r="B35" s="93">
        <v>0.34789126999999997</v>
      </c>
      <c r="C35" s="93">
        <v>0.22618980999999999</v>
      </c>
      <c r="D35" s="93">
        <v>3.0856479600000002</v>
      </c>
      <c r="E35" s="93">
        <v>1.88925831</v>
      </c>
      <c r="F35" s="93">
        <v>0.10174539</v>
      </c>
      <c r="G35" s="93">
        <v>2.7934810000000001E-2</v>
      </c>
      <c r="H35" s="93">
        <v>-0.11587359999999999</v>
      </c>
      <c r="I35" s="93">
        <v>0.2132</v>
      </c>
      <c r="J35" s="9">
        <f t="shared" si="0"/>
        <v>0.77702865630304652</v>
      </c>
      <c r="K35" s="1">
        <f t="shared" si="1"/>
        <v>0.39912397253314236</v>
      </c>
      <c r="L35" s="1">
        <f t="shared" si="2"/>
        <v>6.6119878900952389E-2</v>
      </c>
      <c r="M35" s="1">
        <f t="shared" si="3"/>
        <v>0.16566250952380951</v>
      </c>
    </row>
    <row r="36" spans="1:13" ht="20">
      <c r="A36" s="93">
        <v>0.33</v>
      </c>
      <c r="B36" s="93">
        <v>0.34241001999999998</v>
      </c>
      <c r="C36" s="93">
        <v>0.22944111</v>
      </c>
      <c r="D36" s="93">
        <v>3.1300017499999999</v>
      </c>
      <c r="E36" s="93">
        <v>1.85949184</v>
      </c>
      <c r="F36" s="93">
        <v>0.10158173</v>
      </c>
      <c r="G36" s="93">
        <v>2.840844E-2</v>
      </c>
      <c r="H36" s="93">
        <v>-0.1156237</v>
      </c>
      <c r="I36" s="93">
        <v>0.21079999999999999</v>
      </c>
      <c r="J36" s="9">
        <f t="shared" si="0"/>
        <v>0.77349331345441408</v>
      </c>
      <c r="K36" s="1">
        <f t="shared" si="1"/>
        <v>0.39948248160494837</v>
      </c>
      <c r="L36" s="1">
        <f t="shared" si="2"/>
        <v>6.5136573579047619E-2</v>
      </c>
      <c r="M36" s="1">
        <f t="shared" si="3"/>
        <v>0.16305239047619047</v>
      </c>
    </row>
    <row r="37" spans="1:13" ht="20">
      <c r="A37" s="93">
        <v>0.34</v>
      </c>
      <c r="B37" s="93">
        <v>0.33661925999999998</v>
      </c>
      <c r="C37" s="93">
        <v>0.23333570000000001</v>
      </c>
      <c r="D37" s="93">
        <v>3.1831311800000002</v>
      </c>
      <c r="E37" s="93">
        <v>1.8280445299999999</v>
      </c>
      <c r="F37" s="93">
        <v>0.10155891</v>
      </c>
      <c r="G37" s="93">
        <v>2.8914120000000001E-2</v>
      </c>
      <c r="H37" s="93">
        <v>-0.1153709</v>
      </c>
      <c r="I37" s="93">
        <v>0.2084</v>
      </c>
      <c r="J37" s="9">
        <f t="shared" si="0"/>
        <v>0.76916931724705218</v>
      </c>
      <c r="K37" s="1">
        <f t="shared" si="1"/>
        <v>0.39999415266969574</v>
      </c>
      <c r="L37" s="1">
        <f t="shared" si="2"/>
        <v>6.4117016988571418E-2</v>
      </c>
      <c r="M37" s="1">
        <f t="shared" si="3"/>
        <v>0.16029488571428568</v>
      </c>
    </row>
    <row r="38" spans="1:13" ht="20">
      <c r="A38" s="93">
        <v>0.35</v>
      </c>
      <c r="B38" s="93">
        <v>0.33048579</v>
      </c>
      <c r="C38" s="93">
        <v>0.23796128</v>
      </c>
      <c r="D38" s="93">
        <v>3.2462326899999998</v>
      </c>
      <c r="E38" s="93">
        <v>1.7947361100000001</v>
      </c>
      <c r="F38" s="93">
        <v>0.10168497999999999</v>
      </c>
      <c r="G38" s="93">
        <v>2.944358E-2</v>
      </c>
      <c r="H38" s="93">
        <v>-0.1150346</v>
      </c>
      <c r="I38" s="93">
        <v>0.20599999999999999</v>
      </c>
      <c r="J38" s="9">
        <f t="shared" si="0"/>
        <v>0.76395235783633841</v>
      </c>
      <c r="K38" s="1">
        <f t="shared" si="1"/>
        <v>0.40057823805374504</v>
      </c>
      <c r="L38" s="1">
        <f t="shared" si="2"/>
        <v>6.3040674028571414E-2</v>
      </c>
      <c r="M38" s="1">
        <f t="shared" si="3"/>
        <v>0.15737418571428571</v>
      </c>
    </row>
    <row r="39" spans="1:13" ht="20">
      <c r="A39" s="93">
        <v>0.36</v>
      </c>
      <c r="B39" s="93">
        <v>0.32396988999999998</v>
      </c>
      <c r="C39" s="93">
        <v>0.24342233999999999</v>
      </c>
      <c r="D39" s="93">
        <v>3.3207315400000001</v>
      </c>
      <c r="E39" s="93">
        <v>1.7593508899999999</v>
      </c>
      <c r="F39" s="93">
        <v>0.10196769999999999</v>
      </c>
      <c r="G39" s="93">
        <v>2.9988040000000001E-2</v>
      </c>
      <c r="H39" s="93">
        <v>-0.1145259</v>
      </c>
      <c r="I39" s="93">
        <v>0.2036</v>
      </c>
      <c r="J39" s="9">
        <f t="shared" si="0"/>
        <v>0.75771795771353723</v>
      </c>
      <c r="K39" s="1">
        <f t="shared" si="1"/>
        <v>0.40114581729802112</v>
      </c>
      <c r="L39" s="1">
        <f t="shared" si="2"/>
        <v>6.1885317287619042E-2</v>
      </c>
      <c r="M39" s="1">
        <f t="shared" si="3"/>
        <v>0.15427137619047618</v>
      </c>
    </row>
    <row r="40" spans="1:13" ht="20">
      <c r="A40" s="93">
        <v>0.37</v>
      </c>
      <c r="B40" s="93">
        <v>0.31702321</v>
      </c>
      <c r="C40" s="93">
        <v>0.24984509999999999</v>
      </c>
      <c r="D40" s="93">
        <v>3.40834993</v>
      </c>
      <c r="E40" s="93">
        <v>1.72162624</v>
      </c>
      <c r="F40" s="93">
        <v>0.10241422</v>
      </c>
      <c r="G40" s="93">
        <v>3.0575580000000002E-2</v>
      </c>
      <c r="H40" s="93">
        <v>-0.11398229999999999</v>
      </c>
      <c r="I40" s="93">
        <v>0.20119999999999999</v>
      </c>
      <c r="J40" s="9">
        <f t="shared" si="0"/>
        <v>0.75031527501656725</v>
      </c>
      <c r="K40" s="1">
        <f t="shared" si="1"/>
        <v>0.40191254102814744</v>
      </c>
      <c r="L40" s="1">
        <f t="shared" si="2"/>
        <v>6.067409709333333E-2</v>
      </c>
      <c r="M40" s="1">
        <f t="shared" si="3"/>
        <v>0.15096343333333331</v>
      </c>
    </row>
    <row r="41" spans="1:13" ht="20">
      <c r="A41" s="93">
        <v>0.38</v>
      </c>
      <c r="B41" s="93">
        <v>0.30958141</v>
      </c>
      <c r="C41" s="93">
        <v>0.25739488999999999</v>
      </c>
      <c r="D41" s="93">
        <v>3.5113431199999998</v>
      </c>
      <c r="E41" s="93">
        <v>1.6812128099999999</v>
      </c>
      <c r="F41" s="93">
        <v>0.10303202</v>
      </c>
      <c r="G41" s="93">
        <v>3.1258469999999997E-2</v>
      </c>
      <c r="H41" s="93">
        <v>-0.1135529</v>
      </c>
      <c r="I41" s="93">
        <v>0.1988</v>
      </c>
      <c r="J41" s="9">
        <f t="shared" si="0"/>
        <v>0.74154788253329507</v>
      </c>
      <c r="K41" s="1">
        <f t="shared" si="1"/>
        <v>0.4031295586902327</v>
      </c>
      <c r="L41" s="1">
        <f t="shared" si="2"/>
        <v>5.9429246281904768E-2</v>
      </c>
      <c r="M41" s="1">
        <f t="shared" si="3"/>
        <v>0.14741971904761905</v>
      </c>
    </row>
    <row r="42" spans="1:13" ht="20">
      <c r="A42" s="93">
        <v>0.39</v>
      </c>
      <c r="B42" s="93">
        <v>0.30156842</v>
      </c>
      <c r="C42" s="93">
        <v>0.26626739999999999</v>
      </c>
      <c r="D42" s="93">
        <v>3.63238057</v>
      </c>
      <c r="E42" s="93">
        <v>1.6376974500000001</v>
      </c>
      <c r="F42" s="93">
        <v>0.10382479</v>
      </c>
      <c r="G42" s="93">
        <v>3.2030570000000001E-2</v>
      </c>
      <c r="H42" s="93">
        <v>-0.113179</v>
      </c>
      <c r="I42" s="93">
        <v>0.19639999999999999</v>
      </c>
      <c r="J42" s="9">
        <f t="shared" si="0"/>
        <v>0.73118131122102614</v>
      </c>
      <c r="K42" s="1">
        <f t="shared" si="1"/>
        <v>0.40478924073017986</v>
      </c>
      <c r="L42" s="1">
        <f t="shared" si="2"/>
        <v>5.8129357980952374E-2</v>
      </c>
      <c r="M42" s="1">
        <f t="shared" si="3"/>
        <v>0.14360400952380953</v>
      </c>
    </row>
    <row r="43" spans="1:13" ht="20">
      <c r="A43" s="93">
        <v>0.4</v>
      </c>
      <c r="B43" s="93">
        <v>0.29288388999999998</v>
      </c>
      <c r="C43" s="93">
        <v>0.27671818999999998</v>
      </c>
      <c r="D43" s="93">
        <v>3.7749487099999999</v>
      </c>
      <c r="E43" s="93">
        <v>1.5905352800000001</v>
      </c>
      <c r="F43" s="93">
        <v>0.10479284</v>
      </c>
      <c r="G43" s="93">
        <v>3.288667E-2</v>
      </c>
      <c r="H43" s="93">
        <v>-0.1127938</v>
      </c>
      <c r="I43" s="93">
        <v>0.19400000000000001</v>
      </c>
      <c r="J43" s="9">
        <f t="shared" si="0"/>
        <v>0.71890989199803623</v>
      </c>
      <c r="K43" s="1">
        <f t="shared" si="1"/>
        <v>0.40689560159829896</v>
      </c>
      <c r="L43" s="1">
        <f t="shared" si="2"/>
        <v>5.6749126961904761E-2</v>
      </c>
      <c r="M43" s="1">
        <f t="shared" si="3"/>
        <v>0.13946851904761903</v>
      </c>
    </row>
    <row r="44" spans="1:13" ht="20">
      <c r="A44" s="93">
        <v>0.41</v>
      </c>
      <c r="B44" s="93">
        <v>0.28339252999999998</v>
      </c>
      <c r="C44" s="93">
        <v>0.28908938000000001</v>
      </c>
      <c r="D44" s="93">
        <v>3.9437146300000001</v>
      </c>
      <c r="E44" s="93">
        <v>1.5389914600000001</v>
      </c>
      <c r="F44" s="93">
        <v>0.10592956000000001</v>
      </c>
      <c r="G44" s="93">
        <v>3.3745780000000003E-2</v>
      </c>
      <c r="H44" s="93">
        <v>-0.1112546</v>
      </c>
      <c r="I44" s="93">
        <v>0.19159999999999999</v>
      </c>
      <c r="J44" s="9">
        <f t="shared" si="0"/>
        <v>0.70432580276369416</v>
      </c>
      <c r="K44" s="1">
        <f t="shared" si="1"/>
        <v>0.40795900074006891</v>
      </c>
      <c r="L44" s="1">
        <f t="shared" si="2"/>
        <v>5.5053587312380949E-2</v>
      </c>
      <c r="M44" s="1">
        <f t="shared" si="3"/>
        <v>0.1349488238095238</v>
      </c>
    </row>
    <row r="45" spans="1:13" ht="20">
      <c r="A45" s="93">
        <v>0.42</v>
      </c>
      <c r="B45" s="93">
        <v>0.27292059000000002</v>
      </c>
      <c r="C45" s="93">
        <v>0.30381865000000002</v>
      </c>
      <c r="D45" s="93">
        <v>4.1446490799999998</v>
      </c>
      <c r="E45" s="93">
        <v>1.48212257</v>
      </c>
      <c r="F45" s="93">
        <v>0.10721308</v>
      </c>
      <c r="G45" s="93">
        <v>3.4773909999999998E-2</v>
      </c>
      <c r="H45" s="93">
        <v>-0.1086637</v>
      </c>
      <c r="I45" s="93">
        <v>0.18920000000000001</v>
      </c>
      <c r="J45" s="9">
        <f t="shared" si="0"/>
        <v>0.68690372999093929</v>
      </c>
      <c r="K45" s="1">
        <f t="shared" si="1"/>
        <v>0.40819349241477165</v>
      </c>
      <c r="L45" s="1">
        <f t="shared" si="2"/>
        <v>5.3049718468571434E-2</v>
      </c>
      <c r="M45" s="1">
        <f t="shared" si="3"/>
        <v>0.12996218571428572</v>
      </c>
    </row>
    <row r="46" spans="1:13" ht="20">
      <c r="A46" s="93">
        <v>0.43</v>
      </c>
      <c r="B46" s="93">
        <v>0.26121759999999999</v>
      </c>
      <c r="C46" s="93">
        <v>0.32153126999999998</v>
      </c>
      <c r="D46" s="93">
        <v>4.3862821399999996</v>
      </c>
      <c r="E46" s="93">
        <v>1.4185683099999999</v>
      </c>
      <c r="F46" s="93">
        <v>0.10859779999999999</v>
      </c>
      <c r="G46" s="93">
        <v>3.6029749999999999E-2</v>
      </c>
      <c r="H46" s="93">
        <v>-0.1064653</v>
      </c>
      <c r="I46" s="93">
        <v>0.18679999999999999</v>
      </c>
      <c r="J46" s="9">
        <f t="shared" si="0"/>
        <v>0.66589578872234112</v>
      </c>
      <c r="K46" s="1">
        <f t="shared" si="1"/>
        <v>0.40988282521545261</v>
      </c>
      <c r="L46" s="1">
        <f t="shared" si="2"/>
        <v>5.0985051373333333E-2</v>
      </c>
      <c r="M46" s="1">
        <f t="shared" si="3"/>
        <v>0.12438933333333332</v>
      </c>
    </row>
    <row r="47" spans="1:13" ht="20">
      <c r="A47" s="93">
        <v>0.44</v>
      </c>
      <c r="B47" s="93">
        <v>0.24790638000000001</v>
      </c>
      <c r="C47" s="93">
        <v>0.3410086</v>
      </c>
      <c r="D47" s="93">
        <v>4.6519889499999998</v>
      </c>
      <c r="E47" s="93">
        <v>1.34628039</v>
      </c>
      <c r="F47" s="93">
        <v>0.10930745</v>
      </c>
      <c r="G47" s="93">
        <v>3.7046410000000002E-2</v>
      </c>
      <c r="H47" s="93">
        <v>-9.8721699999999996E-2</v>
      </c>
      <c r="I47" s="93">
        <v>0.18440000000000001</v>
      </c>
      <c r="J47" s="9">
        <f t="shared" si="0"/>
        <v>0.64018794546017976</v>
      </c>
      <c r="K47" s="1">
        <f t="shared" si="1"/>
        <v>0.40420737097609183</v>
      </c>
      <c r="L47" s="1">
        <f t="shared" si="2"/>
        <v>4.771694576571428E-2</v>
      </c>
      <c r="M47" s="1">
        <f t="shared" si="3"/>
        <v>0.11805065714285716</v>
      </c>
    </row>
    <row r="48" spans="1:13" ht="20">
      <c r="A48" s="93">
        <v>0.45</v>
      </c>
      <c r="B48" s="93">
        <v>0.23252751999999999</v>
      </c>
      <c r="C48" s="93">
        <v>0.36407133000000003</v>
      </c>
      <c r="D48" s="93">
        <v>4.9666072400000001</v>
      </c>
      <c r="E48" s="93">
        <v>1.26276393</v>
      </c>
      <c r="F48" s="93">
        <v>0.10946097</v>
      </c>
      <c r="G48" s="93">
        <v>3.8028590000000001E-2</v>
      </c>
      <c r="H48" s="93">
        <v>-8.7815400000000002E-2</v>
      </c>
      <c r="I48" s="93">
        <v>0.182</v>
      </c>
      <c r="J48" s="9">
        <f t="shared" ref="J48:J52" si="4">2*B48/$B$1/I48</f>
        <v>0.60839225536368391</v>
      </c>
      <c r="K48" s="1">
        <f t="shared" ref="K48:K52" si="5">0.25-H48/J48</f>
        <v>0.39434010167914746</v>
      </c>
      <c r="L48" s="1">
        <f t="shared" ref="L48:L52" si="6">K48*J48*I48</f>
        <v>4.3664250419047618E-2</v>
      </c>
      <c r="M48" s="1">
        <f t="shared" ref="M48:M52" si="7">J48*I48</f>
        <v>0.11072739047619047</v>
      </c>
    </row>
    <row r="49" spans="1:13" ht="20">
      <c r="A49" s="93">
        <v>0.46</v>
      </c>
      <c r="B49" s="93">
        <v>0.21439540000000001</v>
      </c>
      <c r="C49" s="93">
        <v>0.3944608</v>
      </c>
      <c r="D49" s="93">
        <v>5.3811759700000001</v>
      </c>
      <c r="E49" s="93">
        <v>1.16429567</v>
      </c>
      <c r="F49" s="93">
        <v>0.10934864</v>
      </c>
      <c r="G49" s="93">
        <v>3.9361300000000002E-2</v>
      </c>
      <c r="H49" s="93">
        <v>-6.8567900000000001E-2</v>
      </c>
      <c r="I49" s="93">
        <v>0.17960000000000001</v>
      </c>
      <c r="J49" s="9">
        <f t="shared" si="4"/>
        <v>0.56844681302365041</v>
      </c>
      <c r="K49" s="1">
        <f t="shared" si="5"/>
        <v>0.37062324641293609</v>
      </c>
      <c r="L49" s="1">
        <f t="shared" si="6"/>
        <v>3.78380567447619E-2</v>
      </c>
      <c r="M49" s="1">
        <f t="shared" si="7"/>
        <v>0.10209304761904762</v>
      </c>
    </row>
    <row r="50" spans="1:13" ht="20">
      <c r="A50" s="93">
        <v>0.47</v>
      </c>
      <c r="B50" s="93">
        <v>0.19225605000000001</v>
      </c>
      <c r="C50" s="93">
        <v>0.43554834999999997</v>
      </c>
      <c r="D50" s="93">
        <v>5.9416862899999998</v>
      </c>
      <c r="E50" s="93">
        <v>1.04406569</v>
      </c>
      <c r="F50" s="93">
        <v>0.10827063000000001</v>
      </c>
      <c r="G50" s="93">
        <v>4.2077339999999998E-2</v>
      </c>
      <c r="H50" s="93">
        <v>-4.4077699999999997E-2</v>
      </c>
      <c r="I50" s="93">
        <v>0.1772</v>
      </c>
      <c r="J50" s="9">
        <f t="shared" si="4"/>
        <v>0.51665067720090296</v>
      </c>
      <c r="K50" s="1">
        <f t="shared" si="5"/>
        <v>0.33531431767166753</v>
      </c>
      <c r="L50" s="1">
        <f t="shared" si="6"/>
        <v>3.069819344E-2</v>
      </c>
      <c r="M50" s="1">
        <f t="shared" si="7"/>
        <v>9.1550500000000007E-2</v>
      </c>
    </row>
    <row r="51" spans="1:13" ht="20">
      <c r="A51" s="93">
        <v>0.48</v>
      </c>
      <c r="B51" s="93">
        <v>0.16357343999999999</v>
      </c>
      <c r="C51" s="93">
        <v>0.49402369000000002</v>
      </c>
      <c r="D51" s="93">
        <v>6.7393981299999997</v>
      </c>
      <c r="E51" s="93">
        <v>0.88830191000000003</v>
      </c>
      <c r="F51" s="93">
        <v>0.10448395000000001</v>
      </c>
      <c r="G51" s="93">
        <v>4.9974560000000001E-2</v>
      </c>
      <c r="H51" s="93">
        <v>-2.8916899999999999E-2</v>
      </c>
      <c r="I51" s="93">
        <v>0.17480000000000001</v>
      </c>
      <c r="J51" s="9">
        <f t="shared" si="4"/>
        <v>0.4456070611310885</v>
      </c>
      <c r="K51" s="1">
        <f t="shared" si="5"/>
        <v>0.31489327149933388</v>
      </c>
      <c r="L51" s="1">
        <f t="shared" si="6"/>
        <v>2.4527702691428569E-2</v>
      </c>
      <c r="M51" s="1">
        <f t="shared" si="7"/>
        <v>7.789211428571427E-2</v>
      </c>
    </row>
    <row r="52" spans="1:13" ht="20">
      <c r="A52" s="93">
        <v>0.49</v>
      </c>
      <c r="B52" s="93">
        <v>0.12176289</v>
      </c>
      <c r="C52" s="93">
        <v>0.58690832000000004</v>
      </c>
      <c r="D52" s="93">
        <v>8.0065165300000007</v>
      </c>
      <c r="E52" s="93">
        <v>0.66124554000000002</v>
      </c>
      <c r="F52" s="93">
        <v>9.2400510000000005E-2</v>
      </c>
      <c r="G52" s="93">
        <v>5.9464259999999998E-2</v>
      </c>
      <c r="H52" s="93">
        <v>-2.62644E-2</v>
      </c>
      <c r="I52" s="93">
        <v>0.1724</v>
      </c>
      <c r="J52" s="9">
        <f t="shared" si="4"/>
        <v>0.3363244116672191</v>
      </c>
      <c r="K52" s="1">
        <f t="shared" si="5"/>
        <v>0.3280924580223088</v>
      </c>
      <c r="L52" s="1">
        <f t="shared" si="6"/>
        <v>1.9023564702857144E-2</v>
      </c>
      <c r="M52" s="1">
        <f t="shared" si="7"/>
        <v>5.7982328571428571E-2</v>
      </c>
    </row>
    <row r="53" spans="1:13" ht="20">
      <c r="A53" s="93">
        <v>0.5</v>
      </c>
      <c r="B53" s="93">
        <v>2.07092E-3</v>
      </c>
      <c r="C53" s="93">
        <v>0.87556080999999997</v>
      </c>
      <c r="D53" s="93">
        <v>11.944271199999999</v>
      </c>
      <c r="E53" s="93">
        <v>1.1246340000000001E-2</v>
      </c>
      <c r="F53" s="93">
        <v>2.3444899999999999E-3</v>
      </c>
      <c r="G53" s="93">
        <v>0</v>
      </c>
      <c r="H53" s="93">
        <v>0</v>
      </c>
      <c r="I53" s="93">
        <v>0.17000059000000001</v>
      </c>
      <c r="J53" s="9">
        <f t="shared" ref="J53" si="8">2*B53/$B$1/I53</f>
        <v>5.8008762260906323E-3</v>
      </c>
      <c r="K53" s="1">
        <f t="shared" ref="K53" si="9">0.25-H53/J53</f>
        <v>0.25</v>
      </c>
      <c r="L53" s="1">
        <f t="shared" ref="L53" si="10">K53*J53*I53</f>
        <v>2.4653809523809522E-4</v>
      </c>
      <c r="M53" s="1">
        <f t="shared" ref="M53" si="11">J53*I53</f>
        <v>9.8615238095238087E-4</v>
      </c>
    </row>
    <row r="54" spans="1:13">
      <c r="A54" s="9"/>
      <c r="B54" s="9"/>
      <c r="C54" s="9"/>
      <c r="D54" s="9"/>
      <c r="E54" s="9"/>
      <c r="F54" s="9"/>
      <c r="G54" s="9"/>
      <c r="H54" s="9"/>
      <c r="I54" s="9"/>
      <c r="J54" s="9"/>
    </row>
    <row r="55" spans="1:13">
      <c r="A55" s="9"/>
      <c r="B55" s="9"/>
      <c r="C55" s="9"/>
      <c r="D55" s="9"/>
      <c r="E55" s="9"/>
      <c r="F55" s="9"/>
      <c r="G55" s="9"/>
      <c r="H55" s="9"/>
      <c r="I55" s="9"/>
      <c r="J55" s="9"/>
    </row>
    <row r="56" spans="1:13">
      <c r="A56" s="9"/>
      <c r="B56" s="9"/>
      <c r="C56" s="9"/>
      <c r="D56" s="9"/>
      <c r="E56" s="9"/>
      <c r="F56" s="9"/>
      <c r="G56" s="9"/>
      <c r="H56" s="9"/>
      <c r="I56" s="9"/>
      <c r="J56" s="9"/>
    </row>
    <row r="57" spans="1:13">
      <c r="A57" s="9"/>
      <c r="B57" s="9"/>
      <c r="C57" s="9"/>
      <c r="D57" s="9"/>
      <c r="E57" s="9"/>
      <c r="F57" s="9"/>
      <c r="G57" s="9"/>
      <c r="H57" s="9"/>
      <c r="I57" s="9"/>
      <c r="J57" s="9"/>
    </row>
    <row r="58" spans="1:13">
      <c r="A58" s="9"/>
      <c r="B58" s="9"/>
      <c r="C58" s="9"/>
      <c r="D58" s="9"/>
      <c r="E58" s="9"/>
      <c r="F58" s="9"/>
      <c r="G58" s="9"/>
      <c r="H58" s="9"/>
      <c r="I58" s="9"/>
      <c r="J58" s="9"/>
    </row>
    <row r="59" spans="1:13">
      <c r="A59" s="9"/>
      <c r="B59" s="9"/>
      <c r="C59" s="9"/>
      <c r="D59" s="9"/>
      <c r="E59" s="9"/>
      <c r="F59" s="9"/>
      <c r="G59" s="9"/>
      <c r="H59" s="9"/>
      <c r="I59" s="9"/>
      <c r="J59" s="9"/>
    </row>
    <row r="60" spans="1:13">
      <c r="A60" s="9"/>
      <c r="B60" s="9"/>
      <c r="C60" s="9"/>
      <c r="D60" s="9"/>
      <c r="E60" s="9"/>
      <c r="F60" s="9"/>
      <c r="G60" s="9"/>
      <c r="H60" s="9"/>
      <c r="I60" s="9"/>
      <c r="J60" s="9"/>
    </row>
    <row r="61" spans="1:13">
      <c r="A61" s="9"/>
      <c r="B61" s="9"/>
      <c r="C61" s="9"/>
      <c r="D61" s="9"/>
      <c r="E61" s="9"/>
      <c r="F61" s="9"/>
      <c r="G61" s="9"/>
      <c r="H61" s="9"/>
      <c r="I61" s="9"/>
      <c r="J61" s="9"/>
    </row>
    <row r="62" spans="1:13">
      <c r="A62" s="9"/>
      <c r="B62" s="9"/>
      <c r="C62" s="9"/>
      <c r="D62" s="9"/>
      <c r="E62" s="9"/>
      <c r="F62" s="9"/>
      <c r="G62" s="9"/>
      <c r="H62" s="9"/>
      <c r="I62" s="9"/>
      <c r="J62" s="9"/>
    </row>
    <row r="63" spans="1:13">
      <c r="A63" s="9"/>
      <c r="B63" s="9"/>
      <c r="C63" s="9"/>
      <c r="D63" s="9"/>
      <c r="E63" s="9"/>
      <c r="F63" s="9"/>
      <c r="G63" s="9"/>
      <c r="H63" s="9"/>
      <c r="I63" s="9"/>
      <c r="J63" s="9"/>
    </row>
    <row r="64" spans="1:13">
      <c r="A64" s="9"/>
      <c r="B64" s="9"/>
      <c r="C64" s="9"/>
      <c r="D64" s="9"/>
      <c r="E64" s="9"/>
      <c r="F64" s="9"/>
      <c r="G64" s="9"/>
      <c r="H64" s="9"/>
      <c r="I64" s="9"/>
      <c r="J64" s="9"/>
    </row>
    <row r="65" spans="1:10">
      <c r="A65" s="9"/>
      <c r="B65" s="9"/>
      <c r="C65" s="9"/>
      <c r="D65" s="9"/>
      <c r="E65" s="9"/>
      <c r="F65" s="9"/>
      <c r="G65" s="9"/>
      <c r="H65" s="9"/>
      <c r="I65" s="9"/>
      <c r="J65" s="9"/>
    </row>
    <row r="66" spans="1:10">
      <c r="A66" s="9"/>
      <c r="B66" s="9"/>
      <c r="C66" s="9"/>
      <c r="D66" s="9"/>
      <c r="E66" s="9"/>
      <c r="F66" s="9"/>
      <c r="G66" s="9"/>
      <c r="H66" s="9"/>
      <c r="I66" s="9"/>
      <c r="J66" s="9"/>
    </row>
    <row r="67" spans="1:10">
      <c r="A67" s="9"/>
      <c r="B67" s="9"/>
      <c r="C67" s="9"/>
      <c r="D67" s="9"/>
      <c r="E67" s="9"/>
      <c r="F67" s="9"/>
      <c r="G67" s="9"/>
      <c r="H67" s="9"/>
      <c r="I67" s="9"/>
      <c r="J67" s="9"/>
    </row>
    <row r="68" spans="1:10">
      <c r="A68" s="9"/>
      <c r="B68" s="9"/>
      <c r="C68" s="9"/>
      <c r="D68" s="9"/>
      <c r="E68" s="9"/>
      <c r="F68" s="9"/>
      <c r="G68" s="9"/>
      <c r="H68" s="9"/>
      <c r="I68" s="9"/>
      <c r="J68" s="9"/>
    </row>
    <row r="69" spans="1:10">
      <c r="A69" s="9"/>
      <c r="B69" s="9"/>
      <c r="C69" s="9"/>
      <c r="D69" s="9"/>
      <c r="E69" s="9"/>
      <c r="F69" s="9"/>
      <c r="G69" s="9"/>
      <c r="H69" s="9"/>
      <c r="I69" s="9"/>
      <c r="J69" s="9"/>
    </row>
    <row r="70" spans="1:10">
      <c r="A70" s="9"/>
      <c r="B70" s="9"/>
      <c r="C70" s="9"/>
      <c r="D70" s="9"/>
      <c r="E70" s="9"/>
      <c r="F70" s="9"/>
      <c r="G70" s="9"/>
      <c r="H70" s="9"/>
      <c r="I70" s="9"/>
      <c r="J70" s="9"/>
    </row>
    <row r="71" spans="1:10">
      <c r="A71" s="9"/>
      <c r="B71" s="9"/>
      <c r="C71" s="9"/>
      <c r="D71" s="9"/>
      <c r="E71" s="9"/>
      <c r="F71" s="9"/>
      <c r="G71" s="9"/>
      <c r="H71" s="9"/>
      <c r="I71" s="9"/>
      <c r="J71" s="9"/>
    </row>
    <row r="72" spans="1:10">
      <c r="A72" s="9"/>
      <c r="B72" s="9"/>
      <c r="C72" s="9"/>
      <c r="D72" s="9"/>
      <c r="E72" s="9"/>
      <c r="F72" s="9"/>
      <c r="G72" s="9"/>
      <c r="H72" s="9"/>
      <c r="I72" s="9"/>
      <c r="J72" s="9"/>
    </row>
    <row r="73" spans="1:10">
      <c r="A73" s="9"/>
      <c r="B73" s="9"/>
      <c r="C73" s="9"/>
      <c r="D73" s="9"/>
      <c r="E73" s="9"/>
      <c r="F73" s="9"/>
      <c r="G73" s="9"/>
      <c r="H73" s="9"/>
      <c r="I73" s="9"/>
      <c r="J73" s="9"/>
    </row>
    <row r="74" spans="1:10">
      <c r="A74" s="9"/>
      <c r="B74" s="9"/>
      <c r="C74" s="9"/>
      <c r="D74" s="9"/>
      <c r="E74" s="9"/>
      <c r="F74" s="9"/>
      <c r="G74" s="9"/>
      <c r="H74" s="9"/>
      <c r="I74" s="9"/>
      <c r="J74" s="9"/>
    </row>
    <row r="75" spans="1:10">
      <c r="A75" s="9"/>
      <c r="B75" s="9"/>
      <c r="C75" s="9"/>
      <c r="D75" s="9"/>
      <c r="E75" s="9"/>
      <c r="F75" s="9"/>
      <c r="G75" s="9"/>
      <c r="H75" s="9"/>
      <c r="I75" s="9"/>
      <c r="J75" s="9"/>
    </row>
    <row r="76" spans="1:10">
      <c r="A76" s="9"/>
      <c r="B76" s="9"/>
      <c r="C76" s="9"/>
      <c r="D76" s="9"/>
      <c r="E76" s="9"/>
      <c r="F76" s="9"/>
      <c r="G76" s="9"/>
      <c r="H76" s="9"/>
      <c r="I76" s="9"/>
      <c r="J76" s="9"/>
    </row>
    <row r="77" spans="1:10">
      <c r="A77" s="9"/>
      <c r="B77" s="9"/>
      <c r="C77" s="9"/>
      <c r="D77" s="9"/>
      <c r="E77" s="9"/>
      <c r="F77" s="9"/>
      <c r="G77" s="9"/>
      <c r="H77" s="9"/>
      <c r="I77" s="9"/>
      <c r="J77" s="9"/>
    </row>
    <row r="78" spans="1:10">
      <c r="A78" s="9"/>
      <c r="B78" s="9"/>
      <c r="C78" s="9"/>
      <c r="D78" s="9"/>
      <c r="E78" s="9"/>
      <c r="F78" s="9"/>
      <c r="G78" s="9"/>
      <c r="H78" s="9"/>
      <c r="I78" s="9"/>
      <c r="J78" s="9"/>
    </row>
    <row r="79" spans="1:10">
      <c r="A79" s="9"/>
      <c r="B79" s="9"/>
      <c r="C79" s="9"/>
      <c r="D79" s="9"/>
      <c r="E79" s="9"/>
      <c r="F79" s="9"/>
      <c r="G79" s="9"/>
      <c r="H79" s="9"/>
      <c r="I79" s="9"/>
      <c r="J79" s="9"/>
    </row>
    <row r="80" spans="1:10">
      <c r="A80" s="9"/>
      <c r="B80" s="9"/>
      <c r="C80" s="9"/>
      <c r="D80" s="9"/>
      <c r="E80" s="9"/>
      <c r="F80" s="9"/>
      <c r="G80" s="9"/>
      <c r="H80" s="9"/>
      <c r="I80" s="9"/>
      <c r="J80" s="9"/>
    </row>
    <row r="81" spans="1:10">
      <c r="A81" s="9"/>
      <c r="B81" s="9"/>
      <c r="C81" s="9"/>
      <c r="D81" s="9"/>
      <c r="E81" s="9"/>
      <c r="F81" s="9"/>
      <c r="G81" s="9"/>
      <c r="H81" s="9"/>
      <c r="I81" s="9"/>
      <c r="J81" s="9"/>
    </row>
    <row r="82" spans="1:10">
      <c r="A82" s="9"/>
      <c r="B82" s="9"/>
      <c r="C82" s="9"/>
      <c r="D82" s="9"/>
      <c r="E82" s="9"/>
      <c r="F82" s="9"/>
      <c r="G82" s="9"/>
      <c r="H82" s="9"/>
      <c r="I82" s="9"/>
      <c r="J82" s="9"/>
    </row>
    <row r="83" spans="1:10">
      <c r="A83" s="9"/>
      <c r="B83" s="9"/>
      <c r="C83" s="9"/>
      <c r="D83" s="9"/>
      <c r="E83" s="9"/>
      <c r="F83" s="9"/>
      <c r="G83" s="9"/>
      <c r="H83" s="9"/>
      <c r="I83" s="9"/>
      <c r="J83" s="9"/>
    </row>
    <row r="84" spans="1:10">
      <c r="A84" s="9"/>
      <c r="B84" s="9"/>
      <c r="C84" s="9"/>
      <c r="D84" s="9"/>
      <c r="E84" s="9"/>
      <c r="F84" s="9"/>
      <c r="G84" s="9"/>
      <c r="H84" s="9"/>
      <c r="I84" s="9"/>
      <c r="J84" s="9"/>
    </row>
    <row r="85" spans="1:10">
      <c r="A85" s="9"/>
      <c r="B85" s="9"/>
      <c r="C85" s="9"/>
      <c r="D85" s="9"/>
      <c r="E85" s="9"/>
      <c r="F85" s="9"/>
      <c r="G85" s="9"/>
      <c r="H85" s="9"/>
      <c r="I85" s="9"/>
      <c r="J85" s="9"/>
    </row>
    <row r="86" spans="1:10">
      <c r="A86" s="9"/>
      <c r="B86" s="9"/>
      <c r="C86" s="9"/>
      <c r="D86" s="9"/>
      <c r="E86" s="9"/>
      <c r="F86" s="9"/>
      <c r="G86" s="9"/>
      <c r="H86" s="9"/>
      <c r="I86" s="9"/>
      <c r="J86" s="9"/>
    </row>
  </sheetData>
  <phoneticPr fontId="4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2F702-8A0E-4333-B57B-8110DF242BC0}">
  <sheetPr codeName="Sheet23">
    <tabColor rgb="FFFFC000"/>
  </sheetPr>
  <dimension ref="A1:T61"/>
  <sheetViews>
    <sheetView topLeftCell="B1" zoomScale="115" zoomScaleNormal="115" workbookViewId="0">
      <selection activeCell="E8" sqref="E8"/>
    </sheetView>
  </sheetViews>
  <sheetFormatPr baseColWidth="10" defaultColWidth="9" defaultRowHeight="17"/>
  <cols>
    <col min="1" max="2" width="9" style="22"/>
    <col min="3" max="3" width="9.5" style="22" bestFit="1" customWidth="1"/>
    <col min="4" max="5" width="9" style="22"/>
    <col min="6" max="6" width="42.6640625" style="22" customWidth="1"/>
    <col min="7" max="7" width="10.1640625" style="22" customWidth="1"/>
    <col min="8" max="13" width="9" style="22" customWidth="1"/>
    <col min="14" max="14" width="10.83203125" style="22" customWidth="1"/>
    <col min="15" max="17" width="9" style="22"/>
    <col min="18" max="18" width="13.33203125" style="22" bestFit="1" customWidth="1"/>
    <col min="19" max="19" width="109" style="22" customWidth="1"/>
    <col min="20" max="16384" width="9" style="22"/>
  </cols>
  <sheetData>
    <row r="1" spans="1:20" ht="33">
      <c r="A1" s="99" t="s">
        <v>0</v>
      </c>
      <c r="B1" s="99"/>
      <c r="C1" s="99"/>
      <c r="D1" s="99"/>
      <c r="G1" s="23"/>
      <c r="H1" s="23"/>
      <c r="I1" s="23"/>
      <c r="J1" s="23"/>
      <c r="K1" s="23"/>
      <c r="L1" s="23"/>
    </row>
    <row r="3" spans="1:20">
      <c r="F3" s="100" t="s">
        <v>1</v>
      </c>
      <c r="G3" s="101" t="s">
        <v>198</v>
      </c>
      <c r="H3" s="101" t="s">
        <v>197</v>
      </c>
      <c r="I3" s="101" t="s">
        <v>195</v>
      </c>
      <c r="J3" s="98" t="s">
        <v>107</v>
      </c>
      <c r="K3" s="96" t="s">
        <v>181</v>
      </c>
      <c r="L3" s="96" t="s">
        <v>182</v>
      </c>
      <c r="M3" s="97" t="s">
        <v>2</v>
      </c>
      <c r="N3" s="97" t="s">
        <v>3</v>
      </c>
      <c r="O3" s="97" t="s">
        <v>4</v>
      </c>
      <c r="P3" s="97" t="s">
        <v>5</v>
      </c>
      <c r="Q3" s="97" t="s">
        <v>103</v>
      </c>
      <c r="R3" s="97" t="s">
        <v>104</v>
      </c>
      <c r="S3" s="97" t="s">
        <v>6</v>
      </c>
      <c r="T3" s="100" t="s">
        <v>7</v>
      </c>
    </row>
    <row r="4" spans="1:20">
      <c r="F4" s="100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100"/>
    </row>
    <row r="5" spans="1:20">
      <c r="E5" s="40" t="s">
        <v>178</v>
      </c>
      <c r="F5" s="22" t="s">
        <v>8</v>
      </c>
      <c r="G5" s="22">
        <v>27000</v>
      </c>
      <c r="K5" s="22" t="e">
        <f>I5*#REF!</f>
        <v>#REF!</v>
      </c>
      <c r="L5" s="22" t="e">
        <f>H5*#REF!*1000</f>
        <v>#REF!</v>
      </c>
      <c r="M5" s="22">
        <v>10</v>
      </c>
      <c r="N5" s="22">
        <f>(0.13+0.16)/2</f>
        <v>0.14500000000000002</v>
      </c>
      <c r="O5" s="22">
        <f>M5/2/(1-N5^2)</f>
        <v>5.1073827217242522</v>
      </c>
      <c r="P5" s="22">
        <v>0.2</v>
      </c>
      <c r="S5" s="22" t="s">
        <v>9</v>
      </c>
      <c r="T5" s="22" t="s">
        <v>10</v>
      </c>
    </row>
    <row r="6" spans="1:20">
      <c r="F6" s="22" t="s">
        <v>13</v>
      </c>
      <c r="G6" s="22">
        <v>160000</v>
      </c>
      <c r="K6" s="22" t="e">
        <f>I6*#REF!</f>
        <v>#REF!</v>
      </c>
      <c r="L6" s="22" t="e">
        <f>H6*#REF!*1000</f>
        <v>#REF!</v>
      </c>
      <c r="M6" s="22">
        <v>2160</v>
      </c>
      <c r="P6" s="22">
        <v>15</v>
      </c>
      <c r="S6" s="22" t="s">
        <v>14</v>
      </c>
      <c r="T6" s="22" t="s">
        <v>15</v>
      </c>
    </row>
    <row r="7" spans="1:20">
      <c r="E7" s="22">
        <f>G7/G6</f>
        <v>2.75</v>
      </c>
      <c r="F7" s="22" t="s">
        <v>18</v>
      </c>
      <c r="G7" s="22">
        <v>440000</v>
      </c>
      <c r="K7" s="22" t="e">
        <f>I7*#REF!</f>
        <v>#REF!</v>
      </c>
      <c r="L7" s="22" t="e">
        <f>H7*#REF!*1000</f>
        <v>#REF!</v>
      </c>
      <c r="M7" s="22">
        <v>9000</v>
      </c>
      <c r="P7" s="22">
        <v>77</v>
      </c>
      <c r="Q7" s="22">
        <v>40</v>
      </c>
      <c r="T7" s="22" t="s">
        <v>95</v>
      </c>
    </row>
    <row r="8" spans="1:20">
      <c r="E8" s="22">
        <f>SQRT(E7)</f>
        <v>1.6583123951776999</v>
      </c>
      <c r="F8" s="22" t="s">
        <v>96</v>
      </c>
      <c r="G8" s="22">
        <v>380000</v>
      </c>
      <c r="K8" s="22" t="e">
        <f>I8*#REF!</f>
        <v>#REF!</v>
      </c>
      <c r="L8" s="22" t="e">
        <f>H8*#REF!*1000</f>
        <v>#REF!</v>
      </c>
      <c r="M8" s="22">
        <v>7500</v>
      </c>
      <c r="P8" s="22">
        <v>65</v>
      </c>
      <c r="Q8" s="22">
        <v>35</v>
      </c>
      <c r="T8" s="22" t="s">
        <v>97</v>
      </c>
    </row>
    <row r="9" spans="1:20">
      <c r="F9" s="51" t="s">
        <v>216</v>
      </c>
      <c r="G9" s="22">
        <f>H27/4*1000</f>
        <v>18888.888888888891</v>
      </c>
    </row>
    <row r="10" spans="1:20">
      <c r="F10" s="79" t="s">
        <v>485</v>
      </c>
      <c r="G10" s="22">
        <f>H28/0.004</f>
        <v>393788.13089295622</v>
      </c>
    </row>
    <row r="11" spans="1:20">
      <c r="K11" s="22" t="e">
        <f>I11*#REF!</f>
        <v>#REF!</v>
      </c>
      <c r="L11" s="22" t="e">
        <f>H11*#REF!*1000</f>
        <v>#REF!</v>
      </c>
    </row>
    <row r="12" spans="1:20">
      <c r="E12" s="40" t="s">
        <v>179</v>
      </c>
      <c r="F12" s="22" t="s">
        <v>16</v>
      </c>
      <c r="H12" s="22">
        <f>1000*0.16</f>
        <v>160</v>
      </c>
      <c r="K12" s="22" t="e">
        <f>I12*#REF!</f>
        <v>#REF!</v>
      </c>
      <c r="L12" s="22" t="e">
        <f>H12*#REF!*1000</f>
        <v>#REF!</v>
      </c>
      <c r="S12" s="22" t="s">
        <v>17</v>
      </c>
      <c r="T12" s="40" t="s">
        <v>184</v>
      </c>
    </row>
    <row r="13" spans="1:20">
      <c r="C13" s="22">
        <f>50/1000*1*H24</f>
        <v>5.2296436797181958</v>
      </c>
      <c r="F13" s="22" t="s">
        <v>94</v>
      </c>
      <c r="H13" s="22">
        <f>3.2/0.14/0.08</f>
        <v>285.71428571428572</v>
      </c>
      <c r="K13" s="22" t="e">
        <f>I13*#REF!</f>
        <v>#REF!</v>
      </c>
      <c r="L13" s="22" t="e">
        <f>H13*#REF!*1000</f>
        <v>#REF!</v>
      </c>
      <c r="T13" s="40" t="s">
        <v>184</v>
      </c>
    </row>
    <row r="14" spans="1:20">
      <c r="F14" s="83" t="s">
        <v>493</v>
      </c>
      <c r="H14" s="22">
        <v>311</v>
      </c>
      <c r="T14" s="40"/>
    </row>
    <row r="15" spans="1:20">
      <c r="C15" s="22">
        <f>プロパティ!D33/1000/1000*1*一般構造素材物性!G5</f>
        <v>0.66208860000000003</v>
      </c>
      <c r="F15" s="22" t="s">
        <v>11</v>
      </c>
      <c r="H15" s="22">
        <f>1000*0.027</f>
        <v>27</v>
      </c>
      <c r="K15" s="22" t="e">
        <f>I15*#REF!</f>
        <v>#REF!</v>
      </c>
      <c r="L15" s="22" t="e">
        <f>H15*#REF!*1000</f>
        <v>#REF!</v>
      </c>
      <c r="S15" s="22" t="s">
        <v>12</v>
      </c>
      <c r="T15" s="40" t="s">
        <v>184</v>
      </c>
    </row>
    <row r="16" spans="1:20" s="9" customFormat="1">
      <c r="C16" s="9">
        <f>C13+C15+I42*0.8+I40*0.2</f>
        <v>17.643732279718193</v>
      </c>
      <c r="F16" s="9" t="s">
        <v>185</v>
      </c>
      <c r="H16" s="9">
        <f>0.7/0.04/0.135</f>
        <v>129.62962962962962</v>
      </c>
      <c r="K16" s="22" t="e">
        <f>I16*#REF!</f>
        <v>#REF!</v>
      </c>
      <c r="L16" s="22" t="e">
        <f>H16*#REF!*1000</f>
        <v>#REF!</v>
      </c>
      <c r="S16" s="9" t="s">
        <v>186</v>
      </c>
      <c r="T16" s="9" t="s">
        <v>99</v>
      </c>
    </row>
    <row r="17" spans="1:20" s="9" customFormat="1">
      <c r="F17" s="9" t="s">
        <v>189</v>
      </c>
      <c r="H17" s="9">
        <f>0.5/0.04/0.135</f>
        <v>92.592592592592581</v>
      </c>
      <c r="K17" s="22" t="e">
        <f>I17*#REF!</f>
        <v>#REF!</v>
      </c>
      <c r="L17" s="22" t="e">
        <f>H17*#REF!*1000</f>
        <v>#REF!</v>
      </c>
      <c r="S17" s="9" t="s">
        <v>186</v>
      </c>
      <c r="T17" s="9" t="s">
        <v>99</v>
      </c>
    </row>
    <row r="18" spans="1:20" s="9" customFormat="1">
      <c r="F18" s="9" t="s">
        <v>183</v>
      </c>
      <c r="H18" s="9">
        <f>1000*0.06</f>
        <v>60</v>
      </c>
      <c r="K18" s="22" t="e">
        <f>I18*#REF!</f>
        <v>#REF!</v>
      </c>
      <c r="L18" s="22" t="e">
        <f>H18*#REF!*1000</f>
        <v>#REF!</v>
      </c>
      <c r="T18" s="9" t="s">
        <v>99</v>
      </c>
    </row>
    <row r="19" spans="1:20">
      <c r="F19" s="22" t="s">
        <v>26</v>
      </c>
      <c r="G19" s="22">
        <f>H19*1000</f>
        <v>90000</v>
      </c>
      <c r="H19" s="22">
        <f>1000*0.09</f>
        <v>90</v>
      </c>
      <c r="K19" s="22" t="e">
        <f>I19*#REF!</f>
        <v>#REF!</v>
      </c>
      <c r="L19" s="22" t="e">
        <f>H19*#REF!*1000</f>
        <v>#REF!</v>
      </c>
      <c r="T19" s="9" t="s">
        <v>99</v>
      </c>
    </row>
    <row r="20" spans="1:20">
      <c r="D20" s="22">
        <f>H13/H28</f>
        <v>0.18138832997987925</v>
      </c>
      <c r="F20" s="24" t="s">
        <v>108</v>
      </c>
      <c r="H20" s="22">
        <f>1000*0.2</f>
        <v>200</v>
      </c>
      <c r="K20" s="22" t="e">
        <f>I20*#REF!</f>
        <v>#REF!</v>
      </c>
      <c r="L20" s="22" t="e">
        <f>H20*#REF!*1000</f>
        <v>#REF!</v>
      </c>
      <c r="T20" s="9" t="s">
        <v>99</v>
      </c>
    </row>
    <row r="21" spans="1:20">
      <c r="F21" s="75" t="s">
        <v>482</v>
      </c>
      <c r="H21" s="22">
        <v>27</v>
      </c>
      <c r="T21" s="9"/>
    </row>
    <row r="22" spans="1:20">
      <c r="F22" s="26" t="s">
        <v>105</v>
      </c>
      <c r="H22" s="22">
        <f>5.2*2</f>
        <v>10.4</v>
      </c>
      <c r="K22" s="22" t="e">
        <f>I22*#REF!</f>
        <v>#REF!</v>
      </c>
      <c r="L22" s="22" t="e">
        <f>H22*#REF!*1000</f>
        <v>#REF!</v>
      </c>
      <c r="T22" s="40" t="s">
        <v>187</v>
      </c>
    </row>
    <row r="23" spans="1:20">
      <c r="F23" s="42" t="s">
        <v>190</v>
      </c>
      <c r="H23" s="22">
        <f>0.3/0.08/0.08</f>
        <v>46.875</v>
      </c>
      <c r="K23" s="22" t="e">
        <f>I23*#REF!</f>
        <v>#REF!</v>
      </c>
      <c r="L23" s="22">
        <f>1.37*0.035*2*H23*1000</f>
        <v>4495.3125000000009</v>
      </c>
      <c r="T23" s="40"/>
    </row>
    <row r="24" spans="1:20">
      <c r="F24" s="48" t="s">
        <v>205</v>
      </c>
      <c r="H24" s="22">
        <f>57.9/0.605/0.915</f>
        <v>104.59287359436391</v>
      </c>
      <c r="K24" s="22" t="e">
        <f>I24*#REF!</f>
        <v>#REF!</v>
      </c>
      <c r="T24" s="40"/>
    </row>
    <row r="25" spans="1:20">
      <c r="F25" s="51" t="s">
        <v>214</v>
      </c>
      <c r="H25" s="22">
        <v>84</v>
      </c>
      <c r="T25" s="40"/>
    </row>
    <row r="26" spans="1:20">
      <c r="F26" s="51" t="s">
        <v>215</v>
      </c>
      <c r="H26" s="22">
        <v>129</v>
      </c>
      <c r="T26" s="40"/>
    </row>
    <row r="27" spans="1:20">
      <c r="F27" s="49" t="s">
        <v>210</v>
      </c>
      <c r="H27" s="22">
        <f>1.7/0.15/0.15</f>
        <v>75.555555555555557</v>
      </c>
      <c r="T27" s="40"/>
    </row>
    <row r="28" spans="1:20">
      <c r="A28" s="74" t="s">
        <v>479</v>
      </c>
      <c r="F28" s="74" t="s">
        <v>480</v>
      </c>
      <c r="H28" s="22">
        <f>284/0.3/0.601</f>
        <v>1575.152523571825</v>
      </c>
      <c r="T28" s="40"/>
    </row>
    <row r="29" spans="1:20">
      <c r="A29" s="74"/>
      <c r="F29" s="76" t="s">
        <v>483</v>
      </c>
      <c r="H29" s="22">
        <f>H13+H18*2</f>
        <v>405.71428571428572</v>
      </c>
      <c r="T29" s="40"/>
    </row>
    <row r="30" spans="1:20">
      <c r="A30" s="74"/>
      <c r="F30" s="79" t="s">
        <v>486</v>
      </c>
      <c r="H30" s="22">
        <v>1000</v>
      </c>
      <c r="T30" s="40"/>
    </row>
    <row r="31" spans="1:20">
      <c r="A31" s="74"/>
      <c r="F31" s="82" t="s">
        <v>489</v>
      </c>
      <c r="H31" s="22">
        <v>1532</v>
      </c>
      <c r="T31" s="40"/>
    </row>
    <row r="32" spans="1:20">
      <c r="A32" s="83" t="s">
        <v>492</v>
      </c>
      <c r="E32" s="83" t="s">
        <v>491</v>
      </c>
      <c r="F32" s="83" t="s">
        <v>490</v>
      </c>
      <c r="H32" s="22">
        <v>1300</v>
      </c>
      <c r="T32" s="40"/>
    </row>
    <row r="33" spans="1:20">
      <c r="A33" s="83"/>
      <c r="E33" s="83"/>
      <c r="F33" s="84" t="s">
        <v>495</v>
      </c>
      <c r="H33" s="22">
        <v>17</v>
      </c>
      <c r="T33" s="40"/>
    </row>
    <row r="34" spans="1:20">
      <c r="A34" s="83"/>
      <c r="E34" s="83"/>
      <c r="F34" s="84" t="s">
        <v>496</v>
      </c>
      <c r="H34" s="22">
        <f>42/0.45/0.3</f>
        <v>311.11111111111109</v>
      </c>
      <c r="T34" s="40"/>
    </row>
    <row r="35" spans="1:20" s="9" customFormat="1">
      <c r="K35" s="22" t="e">
        <f>I35*#REF!</f>
        <v>#REF!</v>
      </c>
      <c r="L35" s="22" t="e">
        <f>H35*#REF!*1000</f>
        <v>#REF!</v>
      </c>
    </row>
    <row r="36" spans="1:20">
      <c r="E36" s="41" t="s">
        <v>188</v>
      </c>
      <c r="F36" s="22" t="s">
        <v>19</v>
      </c>
      <c r="I36" s="22">
        <f>I37/4</f>
        <v>0.46875</v>
      </c>
      <c r="K36" s="22" t="e">
        <f>I36*#REF!</f>
        <v>#REF!</v>
      </c>
      <c r="L36" s="22" t="e">
        <f>H36*#REF!*1000</f>
        <v>#REF!</v>
      </c>
      <c r="R36" s="22">
        <f>PI()^2*$M$7*0.001^4/12/0.1^2*10^7</f>
        <v>7.4022033008170167</v>
      </c>
      <c r="T36" s="22" t="s">
        <v>98</v>
      </c>
    </row>
    <row r="37" spans="1:20">
      <c r="F37" s="22" t="s">
        <v>20</v>
      </c>
      <c r="I37" s="22">
        <f>4.5/(8*300/1000)</f>
        <v>1.875</v>
      </c>
      <c r="K37" s="22" t="e">
        <f>I37*#REF!</f>
        <v>#REF!</v>
      </c>
      <c r="L37" s="22" t="e">
        <f>H37*#REF!*1000</f>
        <v>#REF!</v>
      </c>
      <c r="R37" s="22">
        <f>PI()^2*$M$7*0.002^4/12/0.1^2*10^7</f>
        <v>118.43525281307227</v>
      </c>
      <c r="S37" s="22" t="s">
        <v>21</v>
      </c>
      <c r="T37" s="48" t="s">
        <v>99</v>
      </c>
    </row>
    <row r="38" spans="1:20">
      <c r="F38" s="22" t="s">
        <v>22</v>
      </c>
      <c r="I38" s="22">
        <f>1000*0.00369</f>
        <v>3.69</v>
      </c>
      <c r="K38" s="22" t="e">
        <f>I38*#REF!</f>
        <v>#REF!</v>
      </c>
      <c r="L38" s="22" t="e">
        <f>H38*#REF!*1000</f>
        <v>#REF!</v>
      </c>
      <c r="R38" s="22">
        <f>PI()^2*$M$7*0.003^4/12/0.1^2*10^7</f>
        <v>599.5784673661783</v>
      </c>
      <c r="T38" s="22" t="s">
        <v>98</v>
      </c>
    </row>
    <row r="39" spans="1:20">
      <c r="F39" s="22" t="s">
        <v>23</v>
      </c>
      <c r="I39" s="22">
        <f>1000*0.0104</f>
        <v>10.4</v>
      </c>
      <c r="K39" s="22" t="e">
        <f>I39*#REF!</f>
        <v>#REF!</v>
      </c>
      <c r="L39" s="22" t="e">
        <f>H39*#REF!*1000</f>
        <v>#REF!</v>
      </c>
      <c r="T39" s="9" t="s">
        <v>99</v>
      </c>
    </row>
    <row r="40" spans="1:20">
      <c r="F40" s="22" t="s">
        <v>24</v>
      </c>
      <c r="I40" s="22">
        <f>1000*0.0062</f>
        <v>6.2</v>
      </c>
      <c r="K40" s="22" t="e">
        <f>I40*#REF!</f>
        <v>#REF!</v>
      </c>
      <c r="L40" s="22" t="e">
        <f>H40*#REF!*1000</f>
        <v>#REF!</v>
      </c>
      <c r="T40" s="9" t="s">
        <v>99</v>
      </c>
    </row>
    <row r="41" spans="1:20">
      <c r="F41" s="22" t="s">
        <v>25</v>
      </c>
      <c r="I41" s="22">
        <f>0.0036*1000</f>
        <v>3.6</v>
      </c>
      <c r="K41" s="22" t="e">
        <f>I41*#REF!</f>
        <v>#REF!</v>
      </c>
      <c r="L41" s="22" t="e">
        <f>H41*#REF!*1000</f>
        <v>#REF!</v>
      </c>
      <c r="T41" s="40" t="s">
        <v>187</v>
      </c>
    </row>
    <row r="42" spans="1:20">
      <c r="F42" s="46" t="s">
        <v>194</v>
      </c>
      <c r="I42" s="22">
        <f>13.14</f>
        <v>13.14</v>
      </c>
      <c r="K42" s="22" t="e">
        <f>I42*#REF!</f>
        <v>#REF!</v>
      </c>
      <c r="T42" s="40"/>
    </row>
    <row r="43" spans="1:20">
      <c r="F43" s="46" t="s">
        <v>196</v>
      </c>
      <c r="I43" s="22">
        <v>11.39</v>
      </c>
      <c r="K43" s="22" t="e">
        <f>I43*#REF!</f>
        <v>#REF!</v>
      </c>
      <c r="T43" s="40"/>
    </row>
    <row r="44" spans="1:20">
      <c r="F44" s="22" t="s">
        <v>100</v>
      </c>
      <c r="I44" s="22">
        <f>1000*0.001</f>
        <v>1</v>
      </c>
      <c r="K44" s="22" t="e">
        <f>I44*#REF!</f>
        <v>#REF!</v>
      </c>
      <c r="L44" s="22" t="e">
        <f>H44*#REF!*1000</f>
        <v>#REF!</v>
      </c>
      <c r="S44" s="22" t="s">
        <v>101</v>
      </c>
      <c r="T44" s="9" t="s">
        <v>99</v>
      </c>
    </row>
    <row r="45" spans="1:20">
      <c r="F45" s="22" t="s">
        <v>102</v>
      </c>
      <c r="I45" s="22">
        <f>1000*0.0025</f>
        <v>2.5</v>
      </c>
      <c r="K45" s="22" t="e">
        <f>I45*#REF!</f>
        <v>#REF!</v>
      </c>
      <c r="L45" s="22" t="e">
        <f>H45*#REF!*1000</f>
        <v>#REF!</v>
      </c>
      <c r="T45" s="9" t="s">
        <v>99</v>
      </c>
    </row>
    <row r="46" spans="1:20">
      <c r="F46" s="48" t="s">
        <v>206</v>
      </c>
      <c r="I46" s="22">
        <f>0.7/0.5</f>
        <v>1.4</v>
      </c>
      <c r="K46" s="22" t="e">
        <f>I46*#REF!</f>
        <v>#REF!</v>
      </c>
      <c r="L46" s="22" t="e">
        <f>H46*#REF!*1000</f>
        <v>#REF!</v>
      </c>
      <c r="T46" s="9"/>
    </row>
    <row r="47" spans="1:20">
      <c r="F47" s="48" t="s">
        <v>207</v>
      </c>
      <c r="I47" s="22">
        <f>0.2/0.6</f>
        <v>0.33333333333333337</v>
      </c>
      <c r="T47" s="9"/>
    </row>
    <row r="48" spans="1:20">
      <c r="F48" s="74" t="s">
        <v>481</v>
      </c>
      <c r="I48" s="22">
        <f>H28*0.004</f>
        <v>6.3006100942873005</v>
      </c>
      <c r="T48" s="9"/>
    </row>
    <row r="49" spans="5:20">
      <c r="F49" s="80" t="s">
        <v>487</v>
      </c>
      <c r="I49" s="22">
        <f>H28*0.01</f>
        <v>15.751525235718249</v>
      </c>
      <c r="T49" s="9"/>
    </row>
    <row r="50" spans="5:20">
      <c r="K50" s="22" t="e">
        <f>I50*#REF!</f>
        <v>#REF!</v>
      </c>
      <c r="L50" s="22" t="e">
        <f>H50*#REF!*1000</f>
        <v>#REF!</v>
      </c>
      <c r="T50" s="9"/>
    </row>
    <row r="51" spans="5:20">
      <c r="E51" s="40" t="s">
        <v>180</v>
      </c>
      <c r="F51" s="24" t="s">
        <v>106</v>
      </c>
      <c r="J51" s="24">
        <v>28.4</v>
      </c>
      <c r="K51" s="22" t="e">
        <f>I51*#REF!</f>
        <v>#REF!</v>
      </c>
      <c r="L51" s="22" t="e">
        <f>H51*#REF!*1000</f>
        <v>#REF!</v>
      </c>
      <c r="T51" s="9" t="s">
        <v>99</v>
      </c>
    </row>
    <row r="52" spans="5:20">
      <c r="F52" s="27" t="s">
        <v>111</v>
      </c>
      <c r="J52" s="22">
        <v>50.7</v>
      </c>
      <c r="K52" s="22" t="e">
        <f>I52*#REF!</f>
        <v>#REF!</v>
      </c>
      <c r="L52" s="22" t="e">
        <f>H52*#REF!*1000</f>
        <v>#REF!</v>
      </c>
      <c r="T52" s="9" t="s">
        <v>99</v>
      </c>
    </row>
    <row r="53" spans="5:20">
      <c r="F53" s="27" t="s">
        <v>112</v>
      </c>
      <c r="J53" s="22">
        <v>24.9</v>
      </c>
      <c r="K53" s="22" t="e">
        <f>I53*#REF!</f>
        <v>#REF!</v>
      </c>
      <c r="L53" s="22" t="e">
        <f>H53*#REF!*1000</f>
        <v>#REF!</v>
      </c>
      <c r="T53" s="40" t="s">
        <v>187</v>
      </c>
    </row>
    <row r="54" spans="5:20">
      <c r="F54" s="27" t="s">
        <v>113</v>
      </c>
      <c r="J54" s="22">
        <v>20.399999999999999</v>
      </c>
      <c r="K54" s="22" t="e">
        <f>I54*#REF!</f>
        <v>#REF!</v>
      </c>
      <c r="L54" s="22" t="e">
        <f>H54*#REF!*1000</f>
        <v>#REF!</v>
      </c>
      <c r="T54" s="9" t="s">
        <v>99</v>
      </c>
    </row>
    <row r="55" spans="5:20">
      <c r="F55" s="27" t="s">
        <v>114</v>
      </c>
      <c r="J55" s="22">
        <v>10.1</v>
      </c>
      <c r="K55" s="22" t="e">
        <f>I55*#REF!</f>
        <v>#REF!</v>
      </c>
      <c r="L55" s="22" t="e">
        <f>H55*#REF!*1000</f>
        <v>#REF!</v>
      </c>
      <c r="T55" s="9" t="s">
        <v>99</v>
      </c>
    </row>
    <row r="56" spans="5:20">
      <c r="F56" s="39" t="s">
        <v>177</v>
      </c>
      <c r="J56" s="22">
        <v>10.6</v>
      </c>
      <c r="K56" s="22" t="e">
        <f>I56*#REF!</f>
        <v>#REF!</v>
      </c>
      <c r="L56" s="22" t="e">
        <f>H56*#REF!*1000</f>
        <v>#REF!</v>
      </c>
      <c r="T56" s="40" t="s">
        <v>187</v>
      </c>
    </row>
    <row r="57" spans="5:20">
      <c r="F57" s="44" t="s">
        <v>192</v>
      </c>
      <c r="J57" s="22">
        <v>0.7</v>
      </c>
    </row>
    <row r="58" spans="5:20">
      <c r="F58" s="45" t="s">
        <v>193</v>
      </c>
      <c r="J58" s="22">
        <v>5.6</v>
      </c>
    </row>
    <row r="59" spans="5:20">
      <c r="F59" s="50" t="s">
        <v>212</v>
      </c>
      <c r="J59" s="22">
        <v>2.6</v>
      </c>
    </row>
    <row r="60" spans="5:20">
      <c r="F60" s="81" t="s">
        <v>488</v>
      </c>
      <c r="J60" s="22">
        <v>7.1</v>
      </c>
    </row>
    <row r="61" spans="5:20">
      <c r="F61" s="62" t="s">
        <v>300</v>
      </c>
      <c r="G61" s="22">
        <v>1.2929999999999999</v>
      </c>
    </row>
  </sheetData>
  <mergeCells count="16">
    <mergeCell ref="T3:T4"/>
    <mergeCell ref="R3:R4"/>
    <mergeCell ref="M3:M4"/>
    <mergeCell ref="N3:N4"/>
    <mergeCell ref="O3:O4"/>
    <mergeCell ref="P3:P4"/>
    <mergeCell ref="Q3:Q4"/>
    <mergeCell ref="S3:S4"/>
    <mergeCell ref="L3:L4"/>
    <mergeCell ref="K3:K4"/>
    <mergeCell ref="J3:J4"/>
    <mergeCell ref="A1:D1"/>
    <mergeCell ref="F3:F4"/>
    <mergeCell ref="G3:G4"/>
    <mergeCell ref="H3:H4"/>
    <mergeCell ref="I3:I4"/>
  </mergeCells>
  <phoneticPr fontId="45"/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AC320-B9D0-4F29-A6FE-54AC50532794}">
  <sheetPr codeName="Sheet1">
    <tabColor rgb="FF00B0F0"/>
  </sheetPr>
  <dimension ref="A1:AZ67"/>
  <sheetViews>
    <sheetView tabSelected="1" zoomScale="125" zoomScaleNormal="60" workbookViewId="0">
      <pane xSplit="1" ySplit="6" topLeftCell="B7" activePane="bottomRight" state="frozen"/>
      <selection pane="topRight" activeCell="D1" sqref="D1"/>
      <selection pane="bottomLeft" activeCell="A7" sqref="A7"/>
      <selection pane="bottomRight" activeCell="J2" sqref="J2"/>
    </sheetView>
  </sheetViews>
  <sheetFormatPr baseColWidth="10" defaultColWidth="10.5" defaultRowHeight="17"/>
  <cols>
    <col min="1" max="5" width="10.5" style="1"/>
    <col min="6" max="6" width="27.1640625" style="1" bestFit="1" customWidth="1"/>
    <col min="7" max="7" width="16.83203125" style="1" bestFit="1" customWidth="1"/>
    <col min="8" max="8" width="13" style="1" bestFit="1" customWidth="1"/>
    <col min="9" max="9" width="12.83203125" style="1" customWidth="1"/>
    <col min="10" max="11" width="14" style="1" customWidth="1"/>
    <col min="12" max="13" width="10.5" style="1"/>
    <col min="14" max="14" width="12" style="1" bestFit="1" customWidth="1"/>
    <col min="15" max="16" width="10.5" style="1"/>
    <col min="17" max="17" width="31" style="1" bestFit="1" customWidth="1"/>
    <col min="18" max="18" width="24.83203125" style="1" customWidth="1"/>
    <col min="19" max="19" width="10.5" style="1"/>
    <col min="20" max="23" width="13" style="1" customWidth="1"/>
    <col min="24" max="24" width="14" style="1" customWidth="1"/>
    <col min="25" max="26" width="10.5" style="1"/>
    <col min="27" max="27" width="15" style="1" bestFit="1" customWidth="1"/>
    <col min="28" max="28" width="15" style="1" customWidth="1"/>
    <col min="29" max="29" width="10.5" style="1"/>
    <col min="30" max="30" width="15" style="1" bestFit="1" customWidth="1"/>
    <col min="31" max="34" width="10.5" style="1"/>
    <col min="35" max="36" width="16" style="1" bestFit="1" customWidth="1"/>
    <col min="37" max="37" width="16" style="1" customWidth="1"/>
    <col min="38" max="38" width="10.5" style="1"/>
    <col min="39" max="39" width="20.5" style="1" bestFit="1" customWidth="1"/>
    <col min="40" max="40" width="22.1640625" style="1" bestFit="1" customWidth="1"/>
    <col min="41" max="41" width="17.1640625" style="1" bestFit="1" customWidth="1"/>
    <col min="42" max="46" width="10.5" style="1"/>
    <col min="47" max="47" width="13.6640625" style="1" customWidth="1"/>
    <col min="48" max="48" width="13" style="1" customWidth="1"/>
    <col min="49" max="16384" width="10.5" style="1"/>
  </cols>
  <sheetData>
    <row r="1" spans="1:52">
      <c r="A1" s="112"/>
      <c r="B1" s="2"/>
      <c r="I1" s="1">
        <f>SQRT(100/10^6*100)</f>
        <v>0.1</v>
      </c>
      <c r="Q1" s="71" t="s">
        <v>428</v>
      </c>
      <c r="R1" s="71" t="s">
        <v>429</v>
      </c>
    </row>
    <row r="2" spans="1:52">
      <c r="A2" s="112"/>
      <c r="B2" s="2"/>
      <c r="E2" s="85" t="s">
        <v>507</v>
      </c>
      <c r="G2" s="90" t="s">
        <v>545</v>
      </c>
      <c r="I2" s="1">
        <f>I1/3.3</f>
        <v>3.0303030303030307E-2</v>
      </c>
      <c r="J2" s="1">
        <f>100/I2</f>
        <v>3299.9999999999995</v>
      </c>
      <c r="Q2" s="72" t="s">
        <v>425</v>
      </c>
      <c r="R2" s="72" t="s">
        <v>425</v>
      </c>
      <c r="AI2" s="73"/>
      <c r="AJ2" s="92"/>
      <c r="AK2" s="73"/>
      <c r="AL2" s="73"/>
      <c r="AM2" s="73"/>
      <c r="AN2" s="73" t="s">
        <v>452</v>
      </c>
      <c r="AO2" s="73"/>
      <c r="AP2" s="73"/>
      <c r="AQ2" s="73"/>
    </row>
    <row r="3" spans="1:52">
      <c r="E3" s="86">
        <f>AVERAGE(C7:C57)</f>
        <v>0.21470432882352949</v>
      </c>
      <c r="G3" s="86">
        <f>SUM(G7:G53)/SUM(C7:C53)*1000</f>
        <v>4.139071868210582</v>
      </c>
      <c r="H3" s="1">
        <f>G3/C7/1000</f>
        <v>1.7995964644393833E-2</v>
      </c>
      <c r="J3" s="1">
        <f>SUM(J7:J57)*0.01/空力安定性!G36*2</f>
        <v>0.2423144502325581</v>
      </c>
      <c r="K3" s="1">
        <f>SUM(K7:K57)*0.01/空力安定性!G36*2</f>
        <v>7.8778619418604659E-2</v>
      </c>
      <c r="L3" s="1">
        <f>SUM(L7:P67)*2</f>
        <v>33.417378937419514</v>
      </c>
      <c r="Q3" s="72">
        <f>SUM(Q7:Q67)*2</f>
        <v>2.4954297151535444E-3</v>
      </c>
      <c r="R3" s="72">
        <f>SUM(R7:R67)*2</f>
        <v>6.2957781127268744E-5</v>
      </c>
      <c r="T3" s="1">
        <f>SUM(T7:T79)*2</f>
        <v>1.8980064228000002</v>
      </c>
      <c r="W3" s="1">
        <f>SUM(W7:W67)</f>
        <v>8.428372024059301E-2</v>
      </c>
      <c r="AI3" s="1">
        <f>SUM(AI7:AI67)*0.01-空力安定性!G23*空力安定性!G11</f>
        <v>-0.52126848545959981</v>
      </c>
      <c r="AJ3" s="1">
        <f>SUM(AJ7:AJ67)*0.01/1/空力安定性!G36-空力安定性!G23*空力安定性!G11*空力安定性!G25/空力安定性!G47</f>
        <v>-0.24899064331825821</v>
      </c>
      <c r="AK3" s="1">
        <f>SUM(AK7:AK67)*0.01*空力安定性!G33-空力安定性!G23*空力安定性!G11*空力安定性!G25/空力安定性!G47</f>
        <v>-0.12481434154472568</v>
      </c>
      <c r="AL3" s="1">
        <f>SUM(AL7:AL67)*0.01-空力安定性!G23*空力安定性!G11*2*空力安定性!G26/空力安定性!G47</f>
        <v>-0.66760456773598809</v>
      </c>
      <c r="AM3" s="1">
        <f>SUM(AM7:AM67)*0.01-空力安定性!G23*空力安定性!G11*2*空力安定性!G26^2/空力安定性!G47^2</f>
        <v>-2.5784327477350888</v>
      </c>
      <c r="AN3" s="1">
        <f>SUM(AN7:AN67)*0.01*空力安定性!G33+空力安定性!G23*空力安定性!G11*2*空力安定性!G26*空力安定性!G25/空力安定性!G47^2</f>
        <v>-0.1005159011718478</v>
      </c>
      <c r="AO3" s="1">
        <f t="shared" ref="AI3:AQ3" si="0">SUM(AO7:AO67)*0.01</f>
        <v>0.17718538644672621</v>
      </c>
      <c r="AP3" s="1">
        <f>SUM(AP7:AP67)*0.01*空力安定性!G33+空力安定性!G23*空力安定性!G11*2*空力安定性!G25*空力安定性!G26/空力安定性!G47^2</f>
        <v>0.23343806913341197</v>
      </c>
      <c r="AQ3" s="1">
        <f>SUM(AQ7:AQ67)*0.01-空力安定性!G23*空力安定性!G11*2*空力安定性!G25*空力安定性!G25/空力安定性!G47^2</f>
        <v>-9.2752538509648541E-2</v>
      </c>
    </row>
    <row r="4" spans="1:52">
      <c r="A4" s="113" t="s">
        <v>44</v>
      </c>
      <c r="B4" s="113"/>
      <c r="C4" s="115" t="s">
        <v>48</v>
      </c>
      <c r="E4" s="65" t="s">
        <v>327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3"/>
      <c r="T4" s="116" t="s">
        <v>27</v>
      </c>
      <c r="U4" s="116"/>
      <c r="V4" s="116"/>
      <c r="W4" s="116"/>
      <c r="X4" s="116"/>
      <c r="Z4" s="117" t="s">
        <v>28</v>
      </c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7"/>
      <c r="AL4" s="117"/>
      <c r="AM4" s="63"/>
      <c r="AN4" s="63"/>
      <c r="AO4" s="63"/>
      <c r="AP4" s="63"/>
      <c r="AQ4" s="63"/>
      <c r="AS4" s="114" t="s">
        <v>29</v>
      </c>
      <c r="AT4" s="114"/>
      <c r="AU4" s="114"/>
      <c r="AV4" s="114"/>
      <c r="AW4" s="114"/>
      <c r="AX4" s="114"/>
      <c r="AY4" s="114"/>
      <c r="AZ4" s="114"/>
    </row>
    <row r="5" spans="1:52" ht="18" customHeight="1">
      <c r="A5" s="113"/>
      <c r="B5" s="113"/>
      <c r="C5" s="115"/>
      <c r="E5" s="66" t="s">
        <v>328</v>
      </c>
      <c r="F5" s="90" t="s">
        <v>544</v>
      </c>
      <c r="G5" s="85" t="s">
        <v>502</v>
      </c>
      <c r="H5" s="85" t="s">
        <v>504</v>
      </c>
      <c r="I5" s="12" t="s">
        <v>65</v>
      </c>
      <c r="J5" s="12"/>
      <c r="K5" s="12"/>
      <c r="L5" s="71" t="s">
        <v>424</v>
      </c>
      <c r="M5" s="71" t="s">
        <v>419</v>
      </c>
      <c r="N5" s="71" t="s">
        <v>420</v>
      </c>
      <c r="O5" s="71" t="s">
        <v>422</v>
      </c>
      <c r="P5" s="71" t="s">
        <v>423</v>
      </c>
      <c r="Q5" s="71" t="s">
        <v>427</v>
      </c>
      <c r="R5" s="71" t="s">
        <v>426</v>
      </c>
      <c r="S5" s="2"/>
      <c r="T5" s="102" t="s">
        <v>30</v>
      </c>
      <c r="U5" s="103" t="s">
        <v>69</v>
      </c>
      <c r="V5" s="103" t="s">
        <v>70</v>
      </c>
      <c r="W5" s="103" t="s">
        <v>71</v>
      </c>
      <c r="X5" s="102" t="s">
        <v>32</v>
      </c>
      <c r="Z5" s="109" t="s">
        <v>53</v>
      </c>
      <c r="AA5" s="110" t="s">
        <v>31</v>
      </c>
      <c r="AB5" s="110" t="s">
        <v>512</v>
      </c>
      <c r="AC5" s="111" t="s">
        <v>33</v>
      </c>
      <c r="AD5" s="106" t="s">
        <v>34</v>
      </c>
      <c r="AE5" s="106"/>
      <c r="AF5" s="10" t="s">
        <v>56</v>
      </c>
      <c r="AG5" s="10"/>
      <c r="AH5" s="87" t="s">
        <v>506</v>
      </c>
      <c r="AI5" s="108" t="s">
        <v>330</v>
      </c>
      <c r="AJ5" s="108" t="s">
        <v>331</v>
      </c>
      <c r="AK5" s="108" t="s">
        <v>332</v>
      </c>
      <c r="AL5" s="108" t="s">
        <v>333</v>
      </c>
      <c r="AM5" s="108" t="s">
        <v>334</v>
      </c>
      <c r="AN5" s="108" t="s">
        <v>335</v>
      </c>
      <c r="AO5" s="108" t="s">
        <v>336</v>
      </c>
      <c r="AP5" s="108" t="s">
        <v>337</v>
      </c>
      <c r="AQ5" s="108" t="s">
        <v>338</v>
      </c>
      <c r="AS5" s="104" t="s">
        <v>53</v>
      </c>
      <c r="AT5" s="104" t="s">
        <v>72</v>
      </c>
      <c r="AU5" s="105" t="s">
        <v>74</v>
      </c>
      <c r="AV5" s="105" t="s">
        <v>73</v>
      </c>
      <c r="AW5" s="118" t="s">
        <v>33</v>
      </c>
      <c r="AX5" s="119" t="s">
        <v>34</v>
      </c>
      <c r="AY5" s="119"/>
      <c r="AZ5" s="8" t="s">
        <v>55</v>
      </c>
    </row>
    <row r="6" spans="1:52">
      <c r="A6" s="113"/>
      <c r="B6" s="113"/>
      <c r="C6" s="115"/>
      <c r="E6" s="67" t="s">
        <v>329</v>
      </c>
      <c r="F6" s="86" t="s">
        <v>500</v>
      </c>
      <c r="G6" s="86" t="s">
        <v>329</v>
      </c>
      <c r="H6" s="86" t="s">
        <v>505</v>
      </c>
      <c r="I6" s="4" t="s">
        <v>54</v>
      </c>
      <c r="J6" s="4"/>
      <c r="K6" s="4"/>
      <c r="L6" s="72" t="s">
        <v>421</v>
      </c>
      <c r="M6" s="11" t="s">
        <v>63</v>
      </c>
      <c r="N6" s="72" t="s">
        <v>421</v>
      </c>
      <c r="O6" s="72" t="s">
        <v>421</v>
      </c>
      <c r="P6" s="72" t="s">
        <v>421</v>
      </c>
      <c r="Q6" s="72" t="s">
        <v>425</v>
      </c>
      <c r="R6" s="72" t="s">
        <v>425</v>
      </c>
      <c r="S6" s="2"/>
      <c r="T6" s="102"/>
      <c r="U6" s="102"/>
      <c r="V6" s="102"/>
      <c r="W6" s="102"/>
      <c r="X6" s="102"/>
      <c r="Z6" s="110"/>
      <c r="AA6" s="110"/>
      <c r="AB6" s="110"/>
      <c r="AC6" s="111"/>
      <c r="AD6" s="5" t="s">
        <v>35</v>
      </c>
      <c r="AE6" s="5" t="s">
        <v>36</v>
      </c>
      <c r="AF6" s="5" t="s">
        <v>59</v>
      </c>
      <c r="AG6" s="5" t="s">
        <v>60</v>
      </c>
      <c r="AH6" s="88" t="s">
        <v>505</v>
      </c>
      <c r="AI6" s="108"/>
      <c r="AJ6" s="108"/>
      <c r="AK6" s="108"/>
      <c r="AL6" s="108"/>
      <c r="AM6" s="108"/>
      <c r="AN6" s="108"/>
      <c r="AO6" s="108"/>
      <c r="AP6" s="108"/>
      <c r="AQ6" s="108"/>
      <c r="AS6" s="104"/>
      <c r="AT6" s="105"/>
      <c r="AU6" s="105"/>
      <c r="AV6" s="105"/>
      <c r="AW6" s="118"/>
      <c r="AX6" s="6" t="s">
        <v>35</v>
      </c>
      <c r="AY6" s="6" t="s">
        <v>36</v>
      </c>
      <c r="AZ6" s="6" t="s">
        <v>57</v>
      </c>
    </row>
    <row r="7" spans="1:52">
      <c r="A7" s="1">
        <f>荷重解析!A3</f>
        <v>0</v>
      </c>
      <c r="C7" s="1">
        <f>荷重解析!I3</f>
        <v>0.23</v>
      </c>
      <c r="E7" s="1">
        <f>C7^2</f>
        <v>5.2900000000000003E-2</v>
      </c>
      <c r="F7" s="1">
        <f>$C$7*荷重解析!$D$1-C7*(荷重解析!$D$1)</f>
        <v>0</v>
      </c>
      <c r="G7" s="1">
        <f>F7*C7</f>
        <v>0</v>
      </c>
      <c r="H7" s="1">
        <f>0.05971*C7*1000</f>
        <v>13.7333</v>
      </c>
      <c r="I7" s="1">
        <f>150*10^9*(H7/1000/2)^2*0.005*0.0002*2</f>
        <v>14.14526466675</v>
      </c>
      <c r="J7" s="1">
        <f>A7*C7</f>
        <v>0</v>
      </c>
      <c r="K7" s="1">
        <f>J7*A7</f>
        <v>0</v>
      </c>
      <c r="L7" s="1">
        <f>C7*0.01*一般構造素材物性!$H$22*2</f>
        <v>4.7840000000000001E-2</v>
      </c>
      <c r="M7" s="1">
        <f>一般構造素材物性!$H$34*0.01*主翼細分計算!H7/1000+一般構造素材物性!$H$20*0.005*0.01*2</f>
        <v>6.2725822222222213E-2</v>
      </c>
      <c r="N7" s="1">
        <f>一般構造素材物性!$H$19*0.01*0.015</f>
        <v>1.35E-2</v>
      </c>
      <c r="O7" s="1">
        <f>N7</f>
        <v>1.35E-2</v>
      </c>
      <c r="P7" s="1">
        <f>IF(COUNTIF(Python読み込み用データ!$Q$4:$Q$13,主翼細分計算!A7*1000),1,0)</f>
        <v>1</v>
      </c>
      <c r="Q7" s="1">
        <f>SUM(L7:P7)/10^3*A7^2</f>
        <v>0</v>
      </c>
      <c r="R7" s="1">
        <f>SUM(M7:N7)/10^3*(C7*0.3)^2+SUM(O7)/10^3*(C7*0.7)^2</f>
        <v>7.1284463960000004E-7</v>
      </c>
      <c r="T7" s="1">
        <f>荷重解析!E3*0.01</f>
        <v>2.2201044200000002E-2</v>
      </c>
      <c r="U7" s="1">
        <f>(荷重解析!F3+荷重解析!F4)/2*0.01</f>
        <v>9.253693000000001E-4</v>
      </c>
      <c r="V7" s="1">
        <f>(荷重解析!G3+荷重解析!G4)/2*0.5*1.293*(荷重解析!C3^2+荷重解析!$B$1^2)*((C8+C7)/2)*0.01*COS(RADIANS(荷重解析!D3))</f>
        <v>6.0838372904643942E-4</v>
      </c>
      <c r="W7" s="1">
        <f>V7+U7</f>
        <v>1.5337530290464394E-3</v>
      </c>
      <c r="X7" s="1">
        <f>(荷重解析!H3+荷重解析!H4)/2*0.5*1.293*(荷重解析!C3^2+荷重解析!$B$1^2)*((C8+C7)/2)^2*0.01</f>
        <v>-6.8682013395514633E-4</v>
      </c>
      <c r="Z7" s="1">
        <f>IF(A7=プロパティ!$D$3,T7-プロパティ!$D$8,T7)</f>
        <v>2.2201044200000002E-2</v>
      </c>
      <c r="AA7" s="1">
        <f>SUM(Z8:$Z$91)*(($A8+$A7)/2-$A7)+AA8</f>
        <v>0.10402984065150001</v>
      </c>
      <c r="AB7" s="1">
        <f>AC7*H7/1000/2*一般構造素材物性!$M$7/1000</f>
        <v>4.5450040697356063E-4</v>
      </c>
      <c r="AC7" s="1">
        <f t="shared" ref="AC7:AC38" si="1">AA7/I7</f>
        <v>7.3543933678408705E-3</v>
      </c>
      <c r="AD7" s="1">
        <v>0</v>
      </c>
      <c r="AE7" s="1">
        <f>IFERROR(DEGREES(AD7),"")</f>
        <v>0</v>
      </c>
      <c r="AF7" s="1">
        <v>0</v>
      </c>
      <c r="AG7" s="1">
        <f t="shared" ref="AG7:AG53" si="2">AF7*1000</f>
        <v>0</v>
      </c>
      <c r="AH7" s="1">
        <f>AG7-A7*TAN($AD$7)*1000</f>
        <v>0</v>
      </c>
      <c r="AI7" s="68">
        <f>-2/空力安定性!$G$36*SIN(AD7)^2*C7*PI()*2*0.9</f>
        <v>0</v>
      </c>
      <c r="AJ7" s="1">
        <f>-2*PI()*0.9*SIN(AD7)*(A7*COS(AD7)+AF7*SIN(AD7))*C7</f>
        <v>0</v>
      </c>
      <c r="AK7" s="1">
        <f>-2/空力安定性!$G$36/空力安定性!$G$47*A7*C7*SIN(AD7)</f>
        <v>0</v>
      </c>
      <c r="AL7" s="1">
        <f>-4/空力安定性!$G$36/空力安定性!$G$47*A7*SIN(AD7)*COS(AD7)*C7*2*PI()*0.9</f>
        <v>0</v>
      </c>
      <c r="AM7" s="1">
        <f>-4/空力安定性!$G$36/空力安定性!$G$47^2*COS(AD7)*(A7*COS(AD7)+AF7*SIN(AD7))*C7*2*PI()*0.9</f>
        <v>0</v>
      </c>
      <c r="AN7" s="1">
        <f>-4/空力安定性!$G$36/空力安定性!$G$47^2*C7*COS(AD7)*A7^2</f>
        <v>0</v>
      </c>
      <c r="AO7" s="1">
        <f>4/空力安定性!$G$36/空力安定性!$G$47*2*A7*C7*SIN(AD7)*空力安定性!$G$33</f>
        <v>0</v>
      </c>
      <c r="AP7" s="1">
        <f>4/空力安定性!$G$36/空力安定性!$G$47^2*2*(A7*COS(AD7)+AF7*SIN(AD7))*C7*A7</f>
        <v>0</v>
      </c>
      <c r="AQ7" s="1">
        <f>8/空力安定性!$G$36/空力安定性!$G$47^2*A7^2*C7*(-空力安定性!$G$32)</f>
        <v>0</v>
      </c>
      <c r="AS7" s="1">
        <f>Z7*プロパティ!D$13</f>
        <v>0.13320626520000001</v>
      </c>
      <c r="AT7" s="1">
        <f>W7*プロパティ!$D$13</f>
        <v>9.2025181742786365E-3</v>
      </c>
      <c r="AU7" s="1">
        <f>AA7*プロパティ!D$13</f>
        <v>0.62417904390900003</v>
      </c>
      <c r="AV7" s="1">
        <f>SUM($AT8:AT$67)*(($A8+$A7)/2-$A7)+AV8</f>
        <v>6.3869847448315045E-2</v>
      </c>
      <c r="AW7" s="1">
        <f t="shared" ref="AW7:AW53" si="3">AU7/I7</f>
        <v>4.4126360207045225E-2</v>
      </c>
      <c r="AX7" s="1">
        <f>RADIANS(プロパティ!R5)</f>
        <v>0</v>
      </c>
      <c r="AZ7" s="1">
        <v>0</v>
      </c>
    </row>
    <row r="8" spans="1:52">
      <c r="A8" s="1">
        <f>荷重解析!A4</f>
        <v>0.01</v>
      </c>
      <c r="C8" s="1">
        <f>荷重解析!I4</f>
        <v>0.23</v>
      </c>
      <c r="E8" s="1">
        <f t="shared" ref="E8:E51" si="4">C8^2</f>
        <v>5.2900000000000003E-2</v>
      </c>
      <c r="F8" s="1">
        <f>$C$7*荷重解析!$D$1-C8*(荷重解析!$D$1)</f>
        <v>0</v>
      </c>
      <c r="G8" s="1">
        <f t="shared" ref="G8:G51" si="5">F8*C8</f>
        <v>0</v>
      </c>
      <c r="H8" s="1">
        <f t="shared" ref="H8:H53" si="6">0.05971*C8*1000</f>
        <v>13.7333</v>
      </c>
      <c r="I8" s="1">
        <f t="shared" ref="I8:I53" si="7">150*10^9*(H8/1000/2)^2*0.005*0.0002*2</f>
        <v>14.14526466675</v>
      </c>
      <c r="J8" s="1">
        <f t="shared" ref="J8:J57" si="8">A8*C8</f>
        <v>2.3E-3</v>
      </c>
      <c r="K8" s="1">
        <f t="shared" ref="K8:K57" si="9">J8*A8</f>
        <v>2.3E-5</v>
      </c>
      <c r="L8" s="1">
        <f>C8*0.01*一般構造素材物性!$H$22*2</f>
        <v>4.7840000000000001E-2</v>
      </c>
      <c r="M8" s="1">
        <f>一般構造素材物性!$H$34*0.01*主翼細分計算!H8/1000+一般構造素材物性!$H$20*0.005*0.01*2</f>
        <v>6.2725822222222213E-2</v>
      </c>
      <c r="N8" s="1">
        <f>一般構造素材物性!$H$19*0.01*0.015</f>
        <v>1.35E-2</v>
      </c>
      <c r="O8" s="1">
        <f t="shared" ref="O8:O53" si="10">N8</f>
        <v>1.35E-2</v>
      </c>
      <c r="P8" s="1">
        <f>IF(COUNTIF(Python読み込み用データ!$Q$4:$Q$13,主翼細分計算!A8*1000),1,0)</f>
        <v>0</v>
      </c>
      <c r="Q8" s="1">
        <f t="shared" ref="Q8:Q51" si="11">SUM(L8:P8)/10^3*A8^2</f>
        <v>1.3756582222222223E-8</v>
      </c>
      <c r="R8" s="1">
        <f t="shared" ref="R8:R51" si="12">SUM(M8:N8)/10^3*(C8*0.3)^2+SUM(O8)/10^3*(C8*0.7)^2</f>
        <v>7.1284463960000004E-7</v>
      </c>
      <c r="T8" s="1">
        <f>荷重解析!E4*0.01</f>
        <v>2.21990447E-2</v>
      </c>
      <c r="U8" s="1">
        <f>(荷重解析!F4+荷重解析!F5)/2*0.01</f>
        <v>9.2585594999999995E-4</v>
      </c>
      <c r="V8" s="1">
        <f>(荷重解析!G4+荷重解析!G5)/2*0.5*1.293*(荷重解析!C4^2+荷重解析!$B$1^2)*((C9+C8)/2)*0.01*COS(RADIANS(荷重解析!D4))</f>
        <v>6.0856143699329266E-4</v>
      </c>
      <c r="W8" s="1">
        <f t="shared" ref="W8:W51" si="13">V8+U8</f>
        <v>1.5344173869932926E-3</v>
      </c>
      <c r="X8" s="1">
        <f>(荷重解析!H4+荷重解析!H5)/2*0.5*1.293*(荷重解析!C4^2+荷重解析!$B$1^2)*((C9+C8)/2)^2*0.01</f>
        <v>-6.8686841589498066E-4</v>
      </c>
      <c r="Z8" s="1">
        <f>IF(A8=プロパティ!$D$3,T8-プロパティ!$D$8,T8)</f>
        <v>2.21990447E-2</v>
      </c>
      <c r="AA8" s="1">
        <f>SUM(Z9:$Z$91)*(($A9+$A8)/2-$A8)+AA9</f>
        <v>9.9395829815500006E-2</v>
      </c>
      <c r="AB8" s="1">
        <f>AC8*H8/1000/2*一般構造素材物性!$M$7/1000</f>
        <v>4.3425467942373653E-4</v>
      </c>
      <c r="AC8" s="1">
        <f t="shared" si="1"/>
        <v>7.0267918032768124E-3</v>
      </c>
      <c r="AD8" s="1">
        <v>0</v>
      </c>
      <c r="AE8" s="1">
        <f t="shared" ref="AE8:AE51" si="14">IFERROR(DEGREES(AD8),"")</f>
        <v>0</v>
      </c>
      <c r="AF8" s="1">
        <f>AD7*0.01+AF7</f>
        <v>0</v>
      </c>
      <c r="AG8" s="1">
        <f t="shared" si="2"/>
        <v>0</v>
      </c>
      <c r="AH8" s="1">
        <f t="shared" ref="AH8:AH53" si="15">AG8-A8*TAN($AD$7)*1000</f>
        <v>0</v>
      </c>
      <c r="AI8" s="68">
        <f>-2/空力安定性!$G$36*SIN(AD8)^2*C8*PI()*2*0.9</f>
        <v>0</v>
      </c>
      <c r="AJ8" s="1">
        <f t="shared" ref="AJ8:AJ57" si="16">-2*PI()*0.9*SIN(AD8)*(A8*COS(AD8)+AF8*SIN(AD8))*C8</f>
        <v>0</v>
      </c>
      <c r="AK8" s="1">
        <f>-2/空力安定性!$G$36/空力安定性!$G$47*A8*C8*SIN(AD8)</f>
        <v>0</v>
      </c>
      <c r="AL8" s="1">
        <f>-4/空力安定性!$G$36/空力安定性!$G$47*A8*SIN(AD8)*COS(AD8)*C8*2*PI()*0.9</f>
        <v>0</v>
      </c>
      <c r="AM8" s="1">
        <f>-4/空力安定性!$G$36/空力安定性!$G$47^2*COS(AD8)*(A8*COS(AD8)+AF8*SIN(AD8))*C8*2*PI()*0.9</f>
        <v>-0.24197569462068358</v>
      </c>
      <c r="AN8" s="1">
        <f>-4/空力安定性!$G$36/空力安定性!$G$47^2*C8*COS(AD8)*A8^2</f>
        <v>-4.2790697674418605E-4</v>
      </c>
      <c r="AO8" s="1">
        <f>4/空力安定性!$G$36/空力安定性!$G$47*2*A8*C8*SIN(AD8)*空力安定性!$G$33</f>
        <v>0</v>
      </c>
      <c r="AP8" s="1">
        <f>4/空力安定性!$G$36/空力安定性!$G$47^2*2*(A8*COS(AD8)+AF8*SIN(AD8))*C8*A8</f>
        <v>8.55813953488372E-4</v>
      </c>
      <c r="AQ8" s="1">
        <f>8/空力安定性!$G$36/空力安定性!$G$47^2*A8^2*C8*(-空力安定性!$G$32)</f>
        <v>-7.6963070692671824E-5</v>
      </c>
      <c r="AS8" s="1">
        <f>Z8*プロパティ!D$13</f>
        <v>0.13319426819999999</v>
      </c>
      <c r="AT8" s="1">
        <f>W8*プロパティ!$D$13</f>
        <v>9.2065043219597548E-3</v>
      </c>
      <c r="AU8" s="1">
        <f>AA8*プロパティ!D$13</f>
        <v>0.59637497889300006</v>
      </c>
      <c r="AV8" s="1">
        <f>SUM($AT9:AT$67)*(($A9+$A8)/2-$A8)+AV9</f>
        <v>6.1387348431968643E-2</v>
      </c>
      <c r="AW8" s="1">
        <f t="shared" si="3"/>
        <v>4.2160750819660871E-2</v>
      </c>
      <c r="AX8" s="1">
        <f>AW7*0.01+AX7</f>
        <v>4.4126360207045226E-4</v>
      </c>
      <c r="AY8" s="1">
        <f>IFERROR(DEGREES(AX8),"")</f>
        <v>2.528254205137713E-2</v>
      </c>
      <c r="AZ8" s="1">
        <f>AX7*0.01+AZ7</f>
        <v>0</v>
      </c>
    </row>
    <row r="9" spans="1:52">
      <c r="A9" s="1">
        <f>荷重解析!A5</f>
        <v>0.02</v>
      </c>
      <c r="C9" s="1">
        <f>荷重解析!I5</f>
        <v>0.23</v>
      </c>
      <c r="E9" s="1">
        <f t="shared" si="4"/>
        <v>5.2900000000000003E-2</v>
      </c>
      <c r="F9" s="1">
        <f>$C$7*荷重解析!$D$1-C9*(荷重解析!$D$1)</f>
        <v>0</v>
      </c>
      <c r="G9" s="1">
        <f t="shared" si="5"/>
        <v>0</v>
      </c>
      <c r="H9" s="1">
        <f t="shared" si="6"/>
        <v>13.7333</v>
      </c>
      <c r="I9" s="1">
        <f t="shared" si="7"/>
        <v>14.14526466675</v>
      </c>
      <c r="J9" s="1">
        <f t="shared" si="8"/>
        <v>4.5999999999999999E-3</v>
      </c>
      <c r="K9" s="1">
        <f t="shared" si="9"/>
        <v>9.2E-5</v>
      </c>
      <c r="L9" s="1">
        <f>C9*0.01*一般構造素材物性!$H$22*2</f>
        <v>4.7840000000000001E-2</v>
      </c>
      <c r="M9" s="1">
        <f>一般構造素材物性!$H$34*0.01*主翼細分計算!H9/1000+一般構造素材物性!$H$20*0.005*0.01*2</f>
        <v>6.2725822222222213E-2</v>
      </c>
      <c r="N9" s="1">
        <f>一般構造素材物性!$H$19*0.01*0.015</f>
        <v>1.35E-2</v>
      </c>
      <c r="O9" s="1">
        <f t="shared" si="10"/>
        <v>1.35E-2</v>
      </c>
      <c r="P9" s="1">
        <f>IF(COUNTIF(Python読み込み用データ!$Q$4:$Q$13,主翼細分計算!A9*1000),1,0)</f>
        <v>0</v>
      </c>
      <c r="Q9" s="1">
        <f t="shared" si="11"/>
        <v>5.5026328888888893E-8</v>
      </c>
      <c r="R9" s="1">
        <f t="shared" si="12"/>
        <v>7.1284463960000004E-7</v>
      </c>
      <c r="T9" s="1">
        <f>荷重解析!E5*0.01</f>
        <v>2.2193052099999999E-2</v>
      </c>
      <c r="U9" s="1">
        <f>(荷重解析!F5+荷重解析!F6)/2*0.01</f>
        <v>9.2682965000000011E-4</v>
      </c>
      <c r="V9" s="1">
        <f>(荷重解析!G5+荷重解析!G6)/2*0.5*1.293*(荷重解析!C5^2+荷重解析!$B$1^2)*((C10+C9)/2)*0.01*COS(RADIANS(荷重解析!D5))</f>
        <v>6.0891761926570951E-4</v>
      </c>
      <c r="W9" s="1">
        <f t="shared" si="13"/>
        <v>1.5357472692657096E-3</v>
      </c>
      <c r="X9" s="1">
        <f>(荷重解析!H5+荷重解析!H6)/2*0.5*1.293*(荷重解析!C5^2+荷重解析!$B$1^2)*((C10+C9)/2)^2*0.01</f>
        <v>-6.8696612352395442E-4</v>
      </c>
      <c r="Z9" s="1">
        <f>IF(A9=プロパティ!$D$3,T9-プロパティ!$D$8,T9)</f>
        <v>2.2193052099999999E-2</v>
      </c>
      <c r="AA9" s="1">
        <f>SUM(Z10:$Z$91)*(($A10+$A9)/2-$A9)+AA10</f>
        <v>9.4872814203000005E-2</v>
      </c>
      <c r="AB9" s="1">
        <f>AC9*H9/1000/2*一般構造素材物性!$M$7/1000</f>
        <v>4.1449388363903796E-4</v>
      </c>
      <c r="AC9" s="1">
        <f t="shared" si="1"/>
        <v>6.7070370500743604E-3</v>
      </c>
      <c r="AD9" s="1">
        <v>0</v>
      </c>
      <c r="AE9" s="1">
        <f t="shared" si="14"/>
        <v>0</v>
      </c>
      <c r="AF9" s="1">
        <f t="shared" ref="AF9:AF51" si="17">AD8*0.01+AF8</f>
        <v>0</v>
      </c>
      <c r="AG9" s="1">
        <f t="shared" si="2"/>
        <v>0</v>
      </c>
      <c r="AH9" s="1">
        <f t="shared" si="15"/>
        <v>0</v>
      </c>
      <c r="AI9" s="68">
        <f>-2/空力安定性!$G$36*SIN(AD9)^2*C9*PI()*2*0.9</f>
        <v>0</v>
      </c>
      <c r="AJ9" s="1">
        <f t="shared" si="16"/>
        <v>0</v>
      </c>
      <c r="AK9" s="1">
        <f>-2/空力安定性!$G$36/空力安定性!$G$47*A9*C9*SIN(AD9)</f>
        <v>0</v>
      </c>
      <c r="AL9" s="1">
        <f>-4/空力安定性!$G$36/空力安定性!$G$47*A9*SIN(AD9)*COS(AD9)*C9*2*PI()*0.9</f>
        <v>0</v>
      </c>
      <c r="AM9" s="1">
        <f>-4/空力安定性!$G$36/空力安定性!$G$47^2*COS(AD9)*(A9*COS(AD9)+AF9*SIN(AD9))*C9*2*PI()*0.9</f>
        <v>-0.48395138924136716</v>
      </c>
      <c r="AN9" s="1">
        <f>-4/空力安定性!$G$36/空力安定性!$G$47^2*C9*COS(AD9)*A9^2</f>
        <v>-1.7116279069767442E-3</v>
      </c>
      <c r="AO9" s="1">
        <f>4/空力安定性!$G$36/空力安定性!$G$47*2*A9*C9*SIN(AD9)*空力安定性!$G$33</f>
        <v>0</v>
      </c>
      <c r="AP9" s="1">
        <f>4/空力安定性!$G$36/空力安定性!$G$47^2*2*(A9*COS(AD9)+AF9*SIN(AD9))*C9*A9</f>
        <v>3.423255813953488E-3</v>
      </c>
      <c r="AQ9" s="1">
        <f>8/空力安定性!$G$36/空力安定性!$G$47^2*A9^2*C9*(-空力安定性!$G$32)</f>
        <v>-3.078522827706873E-4</v>
      </c>
      <c r="AS9" s="1">
        <f>Z9*プロパティ!D$13</f>
        <v>0.1331583126</v>
      </c>
      <c r="AT9" s="1">
        <f>W9*プロパティ!$D$13</f>
        <v>9.2144836155942586E-3</v>
      </c>
      <c r="AU9" s="1">
        <f>AA9*プロパティ!D$13</f>
        <v>0.56923688521800009</v>
      </c>
      <c r="AV9" s="1">
        <f>SUM($AT10:AT$67)*(($A10+$A9)/2-$A9)+AV10</f>
        <v>5.8950881937232046E-2</v>
      </c>
      <c r="AW9" s="1">
        <f t="shared" si="3"/>
        <v>4.0242222300446169E-2</v>
      </c>
      <c r="AX9" s="1">
        <f t="shared" ref="AX9:AX51" si="18">AW8*0.01+AX8</f>
        <v>8.6287111026706097E-4</v>
      </c>
      <c r="AY9" s="1">
        <f t="shared" ref="AY9:AY51" si="19">IFERROR(DEGREES(AX9),"")</f>
        <v>4.9438872882070072E-2</v>
      </c>
      <c r="AZ9" s="1">
        <f t="shared" ref="AZ9:AZ51" si="20">AX8*0.01+AZ8</f>
        <v>4.4126360207045227E-6</v>
      </c>
    </row>
    <row r="10" spans="1:52">
      <c r="A10" s="1">
        <f>荷重解析!A6</f>
        <v>0.03</v>
      </c>
      <c r="C10" s="1">
        <f>荷重解析!I6</f>
        <v>0.23</v>
      </c>
      <c r="E10" s="1">
        <f t="shared" si="4"/>
        <v>5.2900000000000003E-2</v>
      </c>
      <c r="F10" s="1">
        <f>$C$7*荷重解析!$D$1-C10*(荷重解析!$D$1)</f>
        <v>0</v>
      </c>
      <c r="G10" s="1">
        <f t="shared" si="5"/>
        <v>0</v>
      </c>
      <c r="H10" s="1">
        <f t="shared" si="6"/>
        <v>13.7333</v>
      </c>
      <c r="I10" s="1">
        <f t="shared" si="7"/>
        <v>14.14526466675</v>
      </c>
      <c r="J10" s="1">
        <f t="shared" si="8"/>
        <v>6.8999999999999999E-3</v>
      </c>
      <c r="K10" s="1">
        <f t="shared" si="9"/>
        <v>2.0699999999999999E-4</v>
      </c>
      <c r="L10" s="1">
        <f>C10*0.01*一般構造素材物性!$H$22*2</f>
        <v>4.7840000000000001E-2</v>
      </c>
      <c r="M10" s="1">
        <f>一般構造素材物性!$H$34*0.01*主翼細分計算!H10/1000+一般構造素材物性!$H$20*0.005*0.01*2</f>
        <v>6.2725822222222213E-2</v>
      </c>
      <c r="N10" s="1">
        <f>一般構造素材物性!$H$19*0.01*0.015</f>
        <v>1.35E-2</v>
      </c>
      <c r="O10" s="1">
        <f t="shared" si="10"/>
        <v>1.35E-2</v>
      </c>
      <c r="P10" s="1">
        <f>IF(COUNTIF(Python読み込み用データ!$Q$4:$Q$13,主翼細分計算!A10*1000),1,0)</f>
        <v>0</v>
      </c>
      <c r="Q10" s="1">
        <f t="shared" si="11"/>
        <v>1.2380923999999999E-7</v>
      </c>
      <c r="R10" s="1">
        <f t="shared" si="12"/>
        <v>7.1284463960000004E-7</v>
      </c>
      <c r="T10" s="1">
        <f>荷重解析!E6*0.01</f>
        <v>2.2183042E-2</v>
      </c>
      <c r="U10" s="1">
        <f>(荷重解析!F6+荷重解析!F7)/2*0.01</f>
        <v>9.2829295000000005E-4</v>
      </c>
      <c r="V10" s="1">
        <f>(荷重解析!G6+荷重解析!G7)/2*0.5*1.293*(荷重解析!C6^2+荷重解析!$B$1^2)*((C11+C10)/2)*0.01*COS(RADIANS(荷重解析!D6))</f>
        <v>6.0945372914564331E-4</v>
      </c>
      <c r="W10" s="1">
        <f t="shared" si="13"/>
        <v>1.5377466791456434E-3</v>
      </c>
      <c r="X10" s="1">
        <f>(荷重解析!H6+荷重解析!H7)/2*0.5*1.293*(荷重解析!C6^2+荷重解析!$B$1^2)*((C11+C10)/2)^2*0.01</f>
        <v>-6.871135760948997E-4</v>
      </c>
      <c r="Z10" s="1">
        <f>IF(A10=プロパティ!$D$3,T10-プロパティ!$D$8,T10)</f>
        <v>2.2183042E-2</v>
      </c>
      <c r="AA10" s="1">
        <f>SUM(Z11:$Z$91)*(($A11+$A10)/2-$A10)+AA11</f>
        <v>9.0460763851000006E-2</v>
      </c>
      <c r="AB10" s="1">
        <f>AC10*H10/1000/2*一般構造素材物性!$M$7/1000</f>
        <v>3.9521788871283667E-4</v>
      </c>
      <c r="AC10" s="1">
        <f t="shared" si="1"/>
        <v>6.3951269899981426E-3</v>
      </c>
      <c r="AD10" s="1">
        <v>0</v>
      </c>
      <c r="AE10" s="1">
        <f t="shared" si="14"/>
        <v>0</v>
      </c>
      <c r="AF10" s="1">
        <f t="shared" si="17"/>
        <v>0</v>
      </c>
      <c r="AG10" s="1">
        <f t="shared" si="2"/>
        <v>0</v>
      </c>
      <c r="AH10" s="1">
        <f t="shared" si="15"/>
        <v>0</v>
      </c>
      <c r="AI10" s="68">
        <f>-2/空力安定性!$G$36*SIN(AD10)^2*C10*PI()*2*0.9</f>
        <v>0</v>
      </c>
      <c r="AJ10" s="1">
        <f t="shared" si="16"/>
        <v>0</v>
      </c>
      <c r="AK10" s="1">
        <f>-2/空力安定性!$G$36/空力安定性!$G$47*A10*C10*SIN(AD10)</f>
        <v>0</v>
      </c>
      <c r="AL10" s="1">
        <f>-4/空力安定性!$G$36/空力安定性!$G$47*A10*SIN(AD10)*COS(AD10)*C10*2*PI()*0.9</f>
        <v>0</v>
      </c>
      <c r="AM10" s="1">
        <f>-4/空力安定性!$G$36/空力安定性!$G$47^2*COS(AD10)*(A10*COS(AD10)+AF10*SIN(AD10))*C10*2*PI()*0.9</f>
        <v>-0.72592708386205063</v>
      </c>
      <c r="AN10" s="1">
        <f>-4/空力安定性!$G$36/空力安定性!$G$47^2*C10*COS(AD10)*A10^2</f>
        <v>-3.851162790697674E-3</v>
      </c>
      <c r="AO10" s="1">
        <f>4/空力安定性!$G$36/空力安定性!$G$47*2*A10*C10*SIN(AD10)*空力安定性!$G$33</f>
        <v>0</v>
      </c>
      <c r="AP10" s="1">
        <f>4/空力安定性!$G$36/空力安定性!$G$47^2*2*(A10*COS(AD10)+AF10*SIN(AD10))*C10*A10</f>
        <v>7.7023255813953462E-3</v>
      </c>
      <c r="AQ10" s="1">
        <f>8/空力安定性!$G$36/空力安定性!$G$47^2*A10^2*C10*(-空力安定性!$G$32)</f>
        <v>-6.9266763623404635E-4</v>
      </c>
      <c r="AS10" s="1">
        <f>Z10*プロパティ!D$13</f>
        <v>0.133098252</v>
      </c>
      <c r="AT10" s="1">
        <f>W10*プロパティ!$D$13</f>
        <v>9.2264800748738593E-3</v>
      </c>
      <c r="AU10" s="1">
        <f>AA10*プロパティ!D$13</f>
        <v>0.54276458310600006</v>
      </c>
      <c r="AV10" s="1">
        <f>SUM($AT11:AT$67)*(($A11+$A10)/2-$A10)+AV11</f>
        <v>5.6560487860573418E-2</v>
      </c>
      <c r="AW10" s="1">
        <f t="shared" si="3"/>
        <v>3.8370761939988854E-2</v>
      </c>
      <c r="AX10" s="1">
        <f t="shared" si="18"/>
        <v>1.2652933332715226E-3</v>
      </c>
      <c r="AY10" s="1">
        <f t="shared" si="19"/>
        <v>7.2495967842498149E-2</v>
      </c>
      <c r="AZ10" s="1">
        <f t="shared" si="20"/>
        <v>1.3041347123375131E-5</v>
      </c>
    </row>
    <row r="11" spans="1:52">
      <c r="A11" s="1">
        <f>荷重解析!A7</f>
        <v>0.04</v>
      </c>
      <c r="C11" s="1">
        <f>荷重解析!I7</f>
        <v>0.23</v>
      </c>
      <c r="E11" s="1">
        <f t="shared" si="4"/>
        <v>5.2900000000000003E-2</v>
      </c>
      <c r="F11" s="1">
        <f>$C$7*荷重解析!$D$1-C11*(荷重解析!$D$1)</f>
        <v>0</v>
      </c>
      <c r="G11" s="1">
        <f t="shared" si="5"/>
        <v>0</v>
      </c>
      <c r="H11" s="1">
        <f t="shared" si="6"/>
        <v>13.7333</v>
      </c>
      <c r="I11" s="1">
        <f t="shared" si="7"/>
        <v>14.14526466675</v>
      </c>
      <c r="J11" s="1">
        <f t="shared" si="8"/>
        <v>9.1999999999999998E-3</v>
      </c>
      <c r="K11" s="1">
        <f t="shared" si="9"/>
        <v>3.68E-4</v>
      </c>
      <c r="L11" s="1">
        <f>C11*0.01*一般構造素材物性!$H$22*2</f>
        <v>4.7840000000000001E-2</v>
      </c>
      <c r="M11" s="1">
        <f>一般構造素材物性!$H$34*0.01*主翼細分計算!H11/1000+一般構造素材物性!$H$20*0.005*0.01*2</f>
        <v>6.2725822222222213E-2</v>
      </c>
      <c r="N11" s="1">
        <f>一般構造素材物性!$H$19*0.01*0.015</f>
        <v>1.35E-2</v>
      </c>
      <c r="O11" s="1">
        <f t="shared" si="10"/>
        <v>1.35E-2</v>
      </c>
      <c r="P11" s="1">
        <f>IF(COUNTIF(Python読み込み用データ!$Q$4:$Q$13,主翼細分計算!A11*1000),1,0)</f>
        <v>0</v>
      </c>
      <c r="Q11" s="1">
        <f t="shared" si="11"/>
        <v>2.2010531555555557E-7</v>
      </c>
      <c r="R11" s="1">
        <f t="shared" si="12"/>
        <v>7.1284463960000004E-7</v>
      </c>
      <c r="T11" s="1">
        <f>荷重解析!E7*0.01</f>
        <v>2.21689737E-2</v>
      </c>
      <c r="U11" s="1">
        <f>(荷重解析!F7+荷重解析!F8)/2*0.01</f>
        <v>9.3024969999999998E-4</v>
      </c>
      <c r="V11" s="1">
        <f>(荷重解析!G7+荷重解析!G8)/2*0.5*1.293*(荷重解析!C7^2+荷重解析!$B$1^2)*((C12+C11)/2)*0.01*COS(RADIANS(荷重解析!D7))</f>
        <v>6.1017201309653219E-4</v>
      </c>
      <c r="W11" s="1">
        <f t="shared" si="13"/>
        <v>1.5404217130965321E-3</v>
      </c>
      <c r="X11" s="1">
        <f>(荷重解析!H7+荷重解析!H8)/2*0.5*1.293*(荷重解析!C7^2+荷重解析!$B$1^2)*((C12+C11)/2)^2*0.01</f>
        <v>-6.8731110369086516E-4</v>
      </c>
      <c r="Z11" s="1">
        <f>IF(A11=プロパティ!$D$3,T11-プロパティ!$D$8,T11)</f>
        <v>2.21689737E-2</v>
      </c>
      <c r="AA11" s="1">
        <f>SUM(Z12:$Z$91)*(($A12+$A11)/2-$A11)+AA12</f>
        <v>8.6159628709E-2</v>
      </c>
      <c r="AB11" s="1">
        <f>AC11*H11/1000/2*一般構造素材物性!$M$7/1000</f>
        <v>3.7642647597736881E-4</v>
      </c>
      <c r="AC11" s="1">
        <f t="shared" si="1"/>
        <v>6.0910580847262389E-3</v>
      </c>
      <c r="AD11" s="1">
        <v>0</v>
      </c>
      <c r="AE11" s="1">
        <f t="shared" si="14"/>
        <v>0</v>
      </c>
      <c r="AF11" s="1">
        <f t="shared" si="17"/>
        <v>0</v>
      </c>
      <c r="AG11" s="1">
        <f t="shared" si="2"/>
        <v>0</v>
      </c>
      <c r="AH11" s="1">
        <f t="shared" si="15"/>
        <v>0</v>
      </c>
      <c r="AI11" s="68">
        <f>-2/空力安定性!$G$36*SIN(AD11)^2*C11*PI()*2*0.9</f>
        <v>0</v>
      </c>
      <c r="AJ11" s="1">
        <f t="shared" si="16"/>
        <v>0</v>
      </c>
      <c r="AK11" s="1">
        <f>-2/空力安定性!$G$36/空力安定性!$G$47*A11*C11*SIN(AD11)</f>
        <v>0</v>
      </c>
      <c r="AL11" s="1">
        <f>-4/空力安定性!$G$36/空力安定性!$G$47*A11*SIN(AD11)*COS(AD11)*C11*2*PI()*0.9</f>
        <v>0</v>
      </c>
      <c r="AM11" s="1">
        <f>-4/空力安定性!$G$36/空力安定性!$G$47^2*COS(AD11)*(A11*COS(AD11)+AF11*SIN(AD11))*C11*2*PI()*0.9</f>
        <v>-0.96790277848273432</v>
      </c>
      <c r="AN11" s="1">
        <f>-4/空力安定性!$G$36/空力安定性!$G$47^2*C11*COS(AD11)*A11^2</f>
        <v>-6.8465116279069769E-3</v>
      </c>
      <c r="AO11" s="1">
        <f>4/空力安定性!$G$36/空力安定性!$G$47*2*A11*C11*SIN(AD11)*空力安定性!$G$33</f>
        <v>0</v>
      </c>
      <c r="AP11" s="1">
        <f>4/空力安定性!$G$36/空力安定性!$G$47^2*2*(A11*COS(AD11)+AF11*SIN(AD11))*C11*A11</f>
        <v>1.3693023255813952E-2</v>
      </c>
      <c r="AQ11" s="1">
        <f>8/空力安定性!$G$36/空力安定性!$G$47^2*A11^2*C11*(-空力安定性!$G$32)</f>
        <v>-1.2314091310827492E-3</v>
      </c>
      <c r="AS11" s="1">
        <f>Z11*プロパティ!D$13</f>
        <v>0.13301384220000001</v>
      </c>
      <c r="AT11" s="1">
        <f>W11*プロパティ!$D$13</f>
        <v>9.2425302785791932E-3</v>
      </c>
      <c r="AU11" s="1">
        <f>AA11*プロパティ!D$13</f>
        <v>0.51695777225399997</v>
      </c>
      <c r="AV11" s="1">
        <f>SUM($AT12:AT$67)*(($A12+$A11)/2-$A11)+AV12</f>
        <v>5.421622618428916E-2</v>
      </c>
      <c r="AW11" s="1">
        <f t="shared" si="3"/>
        <v>3.6546348508357432E-2</v>
      </c>
      <c r="AX11" s="1">
        <f t="shared" si="18"/>
        <v>1.6490009526714112E-3</v>
      </c>
      <c r="AY11" s="1">
        <f t="shared" si="19"/>
        <v>9.4480795001123871E-2</v>
      </c>
      <c r="AZ11" s="1">
        <f t="shared" si="20"/>
        <v>2.569428045609036E-5</v>
      </c>
    </row>
    <row r="12" spans="1:52">
      <c r="A12" s="1">
        <f>荷重解析!A8</f>
        <v>0.05</v>
      </c>
      <c r="C12" s="1">
        <f>荷重解析!I8</f>
        <v>0.23</v>
      </c>
      <c r="E12" s="1">
        <f t="shared" si="4"/>
        <v>5.2900000000000003E-2</v>
      </c>
      <c r="F12" s="1">
        <f>$C$7*荷重解析!$D$1-C12*(荷重解析!$D$1)</f>
        <v>0</v>
      </c>
      <c r="G12" s="1">
        <f t="shared" si="5"/>
        <v>0</v>
      </c>
      <c r="H12" s="1">
        <f t="shared" si="6"/>
        <v>13.7333</v>
      </c>
      <c r="I12" s="1">
        <f t="shared" si="7"/>
        <v>14.14526466675</v>
      </c>
      <c r="J12" s="1">
        <f t="shared" si="8"/>
        <v>1.1500000000000002E-2</v>
      </c>
      <c r="K12" s="1">
        <f t="shared" si="9"/>
        <v>5.750000000000001E-4</v>
      </c>
      <c r="L12" s="1">
        <f>C12*0.01*一般構造素材物性!$H$22*2</f>
        <v>4.7840000000000001E-2</v>
      </c>
      <c r="M12" s="1">
        <f>一般構造素材物性!$H$34*0.01*主翼細分計算!H12/1000+一般構造素材物性!$H$20*0.005*0.01*2</f>
        <v>6.2725822222222213E-2</v>
      </c>
      <c r="N12" s="1">
        <f>一般構造素材物性!$H$19*0.01*0.015</f>
        <v>1.35E-2</v>
      </c>
      <c r="O12" s="1">
        <f t="shared" si="10"/>
        <v>1.35E-2</v>
      </c>
      <c r="P12" s="1">
        <f>IF(COUNTIF(Python読み込み用データ!$Q$4:$Q$13,主翼細分計算!A12*1000),1,0)</f>
        <v>1</v>
      </c>
      <c r="Q12" s="1">
        <f t="shared" si="11"/>
        <v>2.8439145555555562E-6</v>
      </c>
      <c r="R12" s="1">
        <f t="shared" si="12"/>
        <v>7.1284463960000004E-7</v>
      </c>
      <c r="T12" s="1">
        <f>荷重解析!E8*0.01</f>
        <v>2.2150789600000002E-2</v>
      </c>
      <c r="U12" s="1">
        <f>(荷重解析!F8+荷重解析!F9)/2*0.01</f>
        <v>9.3270495000000013E-4</v>
      </c>
      <c r="V12" s="1">
        <f>(荷重解析!G8+荷重解析!G9)/2*0.5*1.293*(荷重解析!C8^2+荷重解析!$B$1^2)*((C13+C12)/2)*0.01*COS(RADIANS(荷重解析!D8))</f>
        <v>6.1107538056188733E-4</v>
      </c>
      <c r="W12" s="1">
        <f t="shared" si="13"/>
        <v>1.5437803305618876E-3</v>
      </c>
      <c r="X12" s="1">
        <f>(荷重解析!H8+荷重解析!H9)/2*0.5*1.293*(荷重解析!C8^2+荷重解析!$B$1^2)*((C13+C12)/2)^2*0.01</f>
        <v>-6.8755995506595863E-4</v>
      </c>
      <c r="Z12" s="1">
        <f>IF(A12=プロパティ!$D$3,T12-プロパティ!$D$8,T12)</f>
        <v>2.2150789600000002E-2</v>
      </c>
      <c r="AA12" s="1">
        <f>SUM(Z13:$Z$91)*(($A13+$A12)/2-$A12)+AA13</f>
        <v>8.19693384355E-2</v>
      </c>
      <c r="AB12" s="1">
        <f>AC12*H12/1000/2*一般構造素材物性!$M$7/1000</f>
        <v>3.5811933811465558E-4</v>
      </c>
      <c r="AC12" s="1">
        <f t="shared" si="1"/>
        <v>5.7948253614637513E-3</v>
      </c>
      <c r="AD12" s="1">
        <v>0</v>
      </c>
      <c r="AE12" s="1">
        <f t="shared" si="14"/>
        <v>0</v>
      </c>
      <c r="AF12" s="1">
        <f t="shared" si="17"/>
        <v>0</v>
      </c>
      <c r="AG12" s="1">
        <f t="shared" si="2"/>
        <v>0</v>
      </c>
      <c r="AH12" s="1">
        <f t="shared" si="15"/>
        <v>0</v>
      </c>
      <c r="AI12" s="68">
        <f>-2/空力安定性!$G$36*SIN(AD12)^2*C12*PI()*2*0.9</f>
        <v>0</v>
      </c>
      <c r="AJ12" s="1">
        <f t="shared" si="16"/>
        <v>0</v>
      </c>
      <c r="AK12" s="1">
        <f>-2/空力安定性!$G$36/空力安定性!$G$47*A12*C12*SIN(AD12)</f>
        <v>0</v>
      </c>
      <c r="AL12" s="1">
        <f>-4/空力安定性!$G$36/空力安定性!$G$47*A12*SIN(AD12)*COS(AD12)*C12*2*PI()*0.9</f>
        <v>0</v>
      </c>
      <c r="AM12" s="1">
        <f>-4/空力安定性!$G$36/空力安定性!$G$47^2*COS(AD12)*(A12*COS(AD12)+AF12*SIN(AD12))*C12*2*PI()*0.9</f>
        <v>-1.2098784731034178</v>
      </c>
      <c r="AN12" s="1">
        <f>-4/空力安定性!$G$36/空力安定性!$G$47^2*C12*COS(AD12)*A12^2</f>
        <v>-1.0697674418604652E-2</v>
      </c>
      <c r="AO12" s="1">
        <f>4/空力安定性!$G$36/空力安定性!$G$47*2*A12*C12*SIN(AD12)*空力安定性!$G$33</f>
        <v>0</v>
      </c>
      <c r="AP12" s="1">
        <f>4/空力安定性!$G$36/空力安定性!$G$47^2*2*(A12*COS(AD12)+AF12*SIN(AD12))*C12*A12</f>
        <v>2.13953488372093E-2</v>
      </c>
      <c r="AQ12" s="1">
        <f>8/空力安定性!$G$36/空力安定性!$G$47^2*A12^2*C12*(-空力安定性!$G$32)</f>
        <v>-1.9240767673167961E-3</v>
      </c>
      <c r="AS12" s="1">
        <f>Z12*プロパティ!D$13</f>
        <v>0.13290473760000002</v>
      </c>
      <c r="AT12" s="1">
        <f>W12*プロパティ!$D$13</f>
        <v>9.2626819833713254E-3</v>
      </c>
      <c r="AU12" s="1">
        <f>AA12*プロパティ!D$13</f>
        <v>0.491816030613</v>
      </c>
      <c r="AV12" s="1">
        <f>SUM($AT13:AT$67)*(($A13+$A12)/2-$A12)+AV13</f>
        <v>5.1918177159397796E-2</v>
      </c>
      <c r="AW12" s="1">
        <f t="shared" si="3"/>
        <v>3.4768952168782508E-2</v>
      </c>
      <c r="AX12" s="1">
        <f t="shared" si="18"/>
        <v>2.0144644377549856E-3</v>
      </c>
      <c r="AY12" s="1">
        <f t="shared" si="19"/>
        <v>0.115420310262555</v>
      </c>
      <c r="AZ12" s="1">
        <f t="shared" si="20"/>
        <v>4.2184289982804474E-5</v>
      </c>
    </row>
    <row r="13" spans="1:52">
      <c r="A13" s="1">
        <f>荷重解析!A9</f>
        <v>0.06</v>
      </c>
      <c r="C13" s="1">
        <f>荷重解析!I9</f>
        <v>0.23</v>
      </c>
      <c r="E13" s="1">
        <f t="shared" si="4"/>
        <v>5.2900000000000003E-2</v>
      </c>
      <c r="F13" s="1">
        <f>$C$7*荷重解析!$D$1-C13*(荷重解析!$D$1)</f>
        <v>0</v>
      </c>
      <c r="G13" s="1">
        <f t="shared" si="5"/>
        <v>0</v>
      </c>
      <c r="H13" s="1">
        <f t="shared" si="6"/>
        <v>13.7333</v>
      </c>
      <c r="I13" s="1">
        <f t="shared" si="7"/>
        <v>14.14526466675</v>
      </c>
      <c r="J13" s="1">
        <f t="shared" si="8"/>
        <v>1.38E-2</v>
      </c>
      <c r="K13" s="1">
        <f t="shared" si="9"/>
        <v>8.2799999999999996E-4</v>
      </c>
      <c r="L13" s="1">
        <f>C13*0.01*一般構造素材物性!$H$22*2</f>
        <v>4.7840000000000001E-2</v>
      </c>
      <c r="M13" s="1">
        <f>一般構造素材物性!$H$34*0.01*主翼細分計算!H13/1000+一般構造素材物性!$H$20*0.005*0.01*2</f>
        <v>6.2725822222222213E-2</v>
      </c>
      <c r="N13" s="1">
        <f>一般構造素材物性!$H$19*0.01*0.015</f>
        <v>1.35E-2</v>
      </c>
      <c r="O13" s="1">
        <f t="shared" si="10"/>
        <v>1.35E-2</v>
      </c>
      <c r="P13" s="1">
        <f>IF(COUNTIF(Python読み込み用データ!$Q$4:$Q$13,主翼細分計算!A13*1000),1,0)</f>
        <v>0</v>
      </c>
      <c r="Q13" s="1">
        <f t="shared" si="11"/>
        <v>4.9523695999999996E-7</v>
      </c>
      <c r="R13" s="1">
        <f t="shared" si="12"/>
        <v>7.1284463960000004E-7</v>
      </c>
      <c r="T13" s="1">
        <f>荷重解析!E9*0.01</f>
        <v>2.21284146E-2</v>
      </c>
      <c r="U13" s="1">
        <f>(荷重解析!F9+荷重解析!F10)/2*0.01</f>
        <v>9.3566515000000007E-4</v>
      </c>
      <c r="V13" s="1">
        <f>(荷重解析!G9+荷重解析!G10)/2*0.5*1.293*(荷重解析!C9^2+荷重解析!$B$1^2)*((C14+C13)/2)*0.01*COS(RADIANS(荷重解析!D9))</f>
        <v>6.1216753521600351E-4</v>
      </c>
      <c r="W13" s="1">
        <f t="shared" si="13"/>
        <v>1.5478326852160036E-3</v>
      </c>
      <c r="X13" s="1">
        <f>(荷重解析!H9+荷重解析!H10)/2*0.5*1.293*(荷重解析!C9^2+荷重解析!$B$1^2)*((C14+C13)/2)^2*0.01</f>
        <v>-6.8786108916926356E-4</v>
      </c>
      <c r="Z13" s="1">
        <f>IF(A13=プロパティ!$D$3,T13-プロパティ!$D$8,T13)</f>
        <v>2.21284146E-2</v>
      </c>
      <c r="AA13" s="1">
        <f>SUM(Z14:$Z$91)*(($A14+$A13)/2-$A13)+AA14</f>
        <v>7.7889802110000003E-2</v>
      </c>
      <c r="AB13" s="1">
        <f>AC13*H13/1000/2*一般構造素材物性!$M$7/1000</f>
        <v>3.4029607789824734E-4</v>
      </c>
      <c r="AC13" s="1">
        <f t="shared" si="1"/>
        <v>5.5064223925826248E-3</v>
      </c>
      <c r="AD13" s="1">
        <v>0</v>
      </c>
      <c r="AE13" s="1">
        <f t="shared" si="14"/>
        <v>0</v>
      </c>
      <c r="AF13" s="1">
        <f t="shared" si="17"/>
        <v>0</v>
      </c>
      <c r="AG13" s="1">
        <f t="shared" si="2"/>
        <v>0</v>
      </c>
      <c r="AH13" s="1">
        <f t="shared" si="15"/>
        <v>0</v>
      </c>
      <c r="AI13" s="68">
        <f>-2/空力安定性!$G$36*SIN(AD13)^2*C13*PI()*2*0.9</f>
        <v>0</v>
      </c>
      <c r="AJ13" s="1">
        <f t="shared" si="16"/>
        <v>0</v>
      </c>
      <c r="AK13" s="1">
        <f>-2/空力安定性!$G$36/空力安定性!$G$47*A13*C13*SIN(AD13)</f>
        <v>0</v>
      </c>
      <c r="AL13" s="1">
        <f>-4/空力安定性!$G$36/空力安定性!$G$47*A13*SIN(AD13)*COS(AD13)*C13*2*PI()*0.9</f>
        <v>0</v>
      </c>
      <c r="AM13" s="1">
        <f>-4/空力安定性!$G$36/空力安定性!$G$47^2*COS(AD13)*(A13*COS(AD13)+AF13*SIN(AD13))*C13*2*PI()*0.9</f>
        <v>-1.4518541677241013</v>
      </c>
      <c r="AN13" s="1">
        <f>-4/空力安定性!$G$36/空力安定性!$G$47^2*C13*COS(AD13)*A13^2</f>
        <v>-1.5404651162790696E-2</v>
      </c>
      <c r="AO13" s="1">
        <f>4/空力安定性!$G$36/空力安定性!$G$47*2*A13*C13*SIN(AD13)*空力安定性!$G$33</f>
        <v>0</v>
      </c>
      <c r="AP13" s="1">
        <f>4/空力安定性!$G$36/空力安定性!$G$47^2*2*(A13*COS(AD13)+AF13*SIN(AD13))*C13*A13</f>
        <v>3.0809302325581385E-2</v>
      </c>
      <c r="AQ13" s="1">
        <f>8/空力安定性!$G$36/空力安定性!$G$47^2*A13^2*C13*(-空力安定性!$G$32)</f>
        <v>-2.7706705449361854E-3</v>
      </c>
      <c r="AS13" s="1">
        <f>Z13*プロパティ!D$13</f>
        <v>0.13277048759999999</v>
      </c>
      <c r="AT13" s="1">
        <f>W13*プロパティ!$D$13</f>
        <v>9.2869961112960215E-3</v>
      </c>
      <c r="AU13" s="1">
        <f>AA13*プロパティ!D$13</f>
        <v>0.46733881265999999</v>
      </c>
      <c r="AV13" s="1">
        <f>SUM($AT14:AT$67)*(($A14+$A13)/2-$A13)+AV14</f>
        <v>4.966644154442329E-2</v>
      </c>
      <c r="AW13" s="1">
        <f t="shared" si="3"/>
        <v>3.3038534355495745E-2</v>
      </c>
      <c r="AX13" s="1">
        <f t="shared" si="18"/>
        <v>2.3621539594428104E-3</v>
      </c>
      <c r="AY13" s="1">
        <f t="shared" si="19"/>
        <v>0.13534145243618967</v>
      </c>
      <c r="AZ13" s="1">
        <f t="shared" si="20"/>
        <v>6.2328934360354337E-5</v>
      </c>
    </row>
    <row r="14" spans="1:52">
      <c r="A14" s="1">
        <f>荷重解析!A10</f>
        <v>7.0000000000000007E-2</v>
      </c>
      <c r="C14" s="1">
        <f>荷重解析!I10</f>
        <v>0.23</v>
      </c>
      <c r="E14" s="1">
        <f t="shared" si="4"/>
        <v>5.2900000000000003E-2</v>
      </c>
      <c r="F14" s="1">
        <f>$C$7*荷重解析!$D$1-C14*(荷重解析!$D$1)</f>
        <v>0</v>
      </c>
      <c r="G14" s="1">
        <f t="shared" si="5"/>
        <v>0</v>
      </c>
      <c r="H14" s="1">
        <f t="shared" si="6"/>
        <v>13.7333</v>
      </c>
      <c r="I14" s="1">
        <f t="shared" si="7"/>
        <v>14.14526466675</v>
      </c>
      <c r="J14" s="1">
        <f t="shared" si="8"/>
        <v>1.6100000000000003E-2</v>
      </c>
      <c r="K14" s="1">
        <f t="shared" si="9"/>
        <v>1.1270000000000004E-3</v>
      </c>
      <c r="L14" s="1">
        <f>C14*0.01*一般構造素材物性!$H$22*2</f>
        <v>4.7840000000000001E-2</v>
      </c>
      <c r="M14" s="1">
        <f>一般構造素材物性!$H$34*0.01*主翼細分計算!H14/1000+一般構造素材物性!$H$20*0.005*0.01*2</f>
        <v>6.2725822222222213E-2</v>
      </c>
      <c r="N14" s="1">
        <f>一般構造素材物性!$H$19*0.01*0.015</f>
        <v>1.35E-2</v>
      </c>
      <c r="O14" s="1">
        <f t="shared" si="10"/>
        <v>1.35E-2</v>
      </c>
      <c r="P14" s="1">
        <f>IF(COUNTIF(Python読み込み用データ!$Q$4:$Q$13,主翼細分計算!A14*1000),1,0)</f>
        <v>0</v>
      </c>
      <c r="Q14" s="1">
        <f t="shared" si="11"/>
        <v>6.7407252888888899E-7</v>
      </c>
      <c r="R14" s="1">
        <f t="shared" si="12"/>
        <v>7.1284463960000004E-7</v>
      </c>
      <c r="T14" s="1">
        <f>荷重解析!E10*0.01</f>
        <v>2.21017552E-2</v>
      </c>
      <c r="U14" s="1">
        <f>(荷重解析!F10+荷重解析!F11)/2*0.01</f>
        <v>9.3913815000000011E-4</v>
      </c>
      <c r="V14" s="1">
        <f>(荷重解析!G10+荷重解析!G11)/2*0.5*1.293*(荷重解析!C10^2+荷重解析!$B$1^2)*((C15+C14)/2)*0.01*COS(RADIANS(荷重解析!D10))</f>
        <v>6.1346400155587531E-4</v>
      </c>
      <c r="W14" s="1">
        <f t="shared" si="13"/>
        <v>1.5526021515558754E-3</v>
      </c>
      <c r="X14" s="1">
        <f>(荷重解析!H10+荷重解析!H11)/2*0.5*1.293*(荷重解析!C10^2+荷重解析!$B$1^2)*((C15+C14)/2)^2*0.01</f>
        <v>-6.8822877389046033E-4</v>
      </c>
      <c r="Z14" s="1">
        <f>IF(A14=プロパティ!$D$3,T14-プロパティ!$D$8,T14)</f>
        <v>2.21017552E-2</v>
      </c>
      <c r="AA14" s="1">
        <f>SUM(Z15:$Z$91)*(($A15+$A14)/2-$A14)+AA15</f>
        <v>7.3920907857499996E-2</v>
      </c>
      <c r="AB14" s="1">
        <f>AC14*H14/1000/2*一般構造素材物性!$M$7/1000</f>
        <v>3.2295620655268577E-4</v>
      </c>
      <c r="AC14" s="1">
        <f t="shared" si="1"/>
        <v>5.2258412690756656E-3</v>
      </c>
      <c r="AD14" s="1">
        <v>0</v>
      </c>
      <c r="AE14" s="1">
        <f t="shared" si="14"/>
        <v>0</v>
      </c>
      <c r="AF14" s="1">
        <f t="shared" si="17"/>
        <v>0</v>
      </c>
      <c r="AG14" s="1">
        <f t="shared" si="2"/>
        <v>0</v>
      </c>
      <c r="AH14" s="1">
        <f t="shared" si="15"/>
        <v>0</v>
      </c>
      <c r="AI14" s="68">
        <f>-2/空力安定性!$G$36*SIN(AD14)^2*C14*PI()*2*0.9</f>
        <v>0</v>
      </c>
      <c r="AJ14" s="1">
        <f t="shared" si="16"/>
        <v>0</v>
      </c>
      <c r="AK14" s="1">
        <f>-2/空力安定性!$G$36/空力安定性!$G$47*A14*C14*SIN(AD14)</f>
        <v>0</v>
      </c>
      <c r="AL14" s="1">
        <f>-4/空力安定性!$G$36/空力安定性!$G$47*A14*SIN(AD14)*COS(AD14)*C14*2*PI()*0.9</f>
        <v>0</v>
      </c>
      <c r="AM14" s="1">
        <f>-4/空力安定性!$G$36/空力安定性!$G$47^2*COS(AD14)*(A14*COS(AD14)+AF14*SIN(AD14))*C14*2*PI()*0.9</f>
        <v>-1.6938298623447854</v>
      </c>
      <c r="AN14" s="1">
        <f>-4/空力安定性!$G$36/空力安定性!$G$47^2*C14*COS(AD14)*A14^2</f>
        <v>-2.0967441860465116E-2</v>
      </c>
      <c r="AO14" s="1">
        <f>4/空力安定性!$G$36/空力安定性!$G$47*2*A14*C14*SIN(AD14)*空力安定性!$G$33</f>
        <v>0</v>
      </c>
      <c r="AP14" s="1">
        <f>4/空力安定性!$G$36/空力安定性!$G$47^2*2*(A14*COS(AD14)+AF14*SIN(AD14))*C14*A14</f>
        <v>4.1934883720930238E-2</v>
      </c>
      <c r="AQ14" s="1">
        <f>8/空力安定性!$G$36/空力安定性!$G$47^2*A14^2*C14*(-空力安定性!$G$32)</f>
        <v>-3.7711904639409202E-3</v>
      </c>
      <c r="AS14" s="1">
        <f>Z14*プロパティ!D$13</f>
        <v>0.13261053119999999</v>
      </c>
      <c r="AT14" s="1">
        <f>W14*プロパティ!$D$13</f>
        <v>9.3156129093352521E-3</v>
      </c>
      <c r="AU14" s="1">
        <f>AA14*プロパティ!D$13</f>
        <v>0.44352544714499997</v>
      </c>
      <c r="AV14" s="1">
        <f>SUM($AT15:AT$67)*(($A15+$A14)/2-$A14)+AV15</f>
        <v>4.7461140910005264E-2</v>
      </c>
      <c r="AW14" s="1">
        <f t="shared" si="3"/>
        <v>3.1355047614453992E-2</v>
      </c>
      <c r="AX14" s="1">
        <f t="shared" si="18"/>
        <v>2.6925393029977678E-3</v>
      </c>
      <c r="AY14" s="1">
        <f t="shared" si="19"/>
        <v>0.15427113823486846</v>
      </c>
      <c r="AZ14" s="1">
        <f t="shared" si="20"/>
        <v>8.5950473954782446E-5</v>
      </c>
    </row>
    <row r="15" spans="1:52">
      <c r="A15" s="1">
        <f>荷重解析!A11</f>
        <v>0.08</v>
      </c>
      <c r="C15" s="1">
        <f>荷重解析!I11</f>
        <v>0.23</v>
      </c>
      <c r="E15" s="1">
        <f t="shared" si="4"/>
        <v>5.2900000000000003E-2</v>
      </c>
      <c r="F15" s="1">
        <f>$C$7*荷重解析!$D$1-C15*(荷重解析!$D$1)</f>
        <v>0</v>
      </c>
      <c r="G15" s="1">
        <f t="shared" si="5"/>
        <v>0</v>
      </c>
      <c r="H15" s="1">
        <f t="shared" si="6"/>
        <v>13.7333</v>
      </c>
      <c r="I15" s="1">
        <f t="shared" si="7"/>
        <v>14.14526466675</v>
      </c>
      <c r="J15" s="1">
        <f t="shared" si="8"/>
        <v>1.84E-2</v>
      </c>
      <c r="K15" s="1">
        <f t="shared" si="9"/>
        <v>1.472E-3</v>
      </c>
      <c r="L15" s="1">
        <f>C15*0.01*一般構造素材物性!$H$22*2</f>
        <v>4.7840000000000001E-2</v>
      </c>
      <c r="M15" s="1">
        <f>一般構造素材物性!$H$34*0.01*主翼細分計算!H15/1000+一般構造素材物性!$H$20*0.005*0.01*2</f>
        <v>6.2725822222222213E-2</v>
      </c>
      <c r="N15" s="1">
        <f>一般構造素材物性!$H$19*0.01*0.015</f>
        <v>1.35E-2</v>
      </c>
      <c r="O15" s="1">
        <f t="shared" si="10"/>
        <v>1.35E-2</v>
      </c>
      <c r="P15" s="1">
        <f>IF(COUNTIF(Python読み込み用データ!$Q$4:$Q$13,主翼細分計算!A15*1000),1,0)</f>
        <v>0</v>
      </c>
      <c r="Q15" s="1">
        <f t="shared" si="11"/>
        <v>8.8042126222222229E-7</v>
      </c>
      <c r="R15" s="1">
        <f t="shared" si="12"/>
        <v>7.1284463960000004E-7</v>
      </c>
      <c r="T15" s="1">
        <f>荷重解析!E11*0.01</f>
        <v>2.20706983E-2</v>
      </c>
      <c r="U15" s="1">
        <f>(荷重解析!F11+荷重解析!F12)/2*0.01</f>
        <v>9.4313380000000003E-4</v>
      </c>
      <c r="V15" s="1">
        <f>(荷重解析!G11+荷重解析!G12)/2*0.5*1.293*(荷重解析!C11^2+荷重解析!$B$1^2)*((C16+C15)/2)*0.01*COS(RADIANS(荷重解析!D11))</f>
        <v>6.149998717710376E-4</v>
      </c>
      <c r="W15" s="1">
        <f t="shared" si="13"/>
        <v>1.5581336717710376E-3</v>
      </c>
      <c r="X15" s="1">
        <f>(荷重解析!H11+荷重解析!H12)/2*0.5*1.293*(荷重解析!C11^2+荷重解析!$B$1^2)*((C16+C15)/2)^2*0.01</f>
        <v>-6.8870056172311571E-4</v>
      </c>
      <c r="Z15" s="1">
        <f>IF(A15=プロパティ!$D$3,T15-プロパティ!$D$8,T15)</f>
        <v>2.20706983E-2</v>
      </c>
      <c r="AA15" s="1">
        <f>SUM(Z16:$Z$91)*(($A16+$A15)/2-$A15)+AA16</f>
        <v>7.0062522380999998E-2</v>
      </c>
      <c r="AB15" s="1">
        <f>AC15*H15/1000/2*一般構造素材物性!$M$7/1000</f>
        <v>3.0609914171102356E-4</v>
      </c>
      <c r="AC15" s="1">
        <f t="shared" si="1"/>
        <v>4.9530725675066131E-3</v>
      </c>
      <c r="AD15" s="1">
        <v>0</v>
      </c>
      <c r="AE15" s="1">
        <f t="shared" si="14"/>
        <v>0</v>
      </c>
      <c r="AF15" s="1">
        <f t="shared" si="17"/>
        <v>0</v>
      </c>
      <c r="AG15" s="1">
        <f t="shared" si="2"/>
        <v>0</v>
      </c>
      <c r="AH15" s="1">
        <f t="shared" si="15"/>
        <v>0</v>
      </c>
      <c r="AI15" s="68">
        <f>-2/空力安定性!$G$36*SIN(AD15)^2*C15*PI()*2*0.9</f>
        <v>0</v>
      </c>
      <c r="AJ15" s="1">
        <f t="shared" si="16"/>
        <v>0</v>
      </c>
      <c r="AK15" s="1">
        <f>-2/空力安定性!$G$36/空力安定性!$G$47*A15*C15*SIN(AD15)</f>
        <v>0</v>
      </c>
      <c r="AL15" s="1">
        <f>-4/空力安定性!$G$36/空力安定性!$G$47*A15*SIN(AD15)*COS(AD15)*C15*2*PI()*0.9</f>
        <v>0</v>
      </c>
      <c r="AM15" s="1">
        <f>-4/空力安定性!$G$36/空力安定性!$G$47^2*COS(AD15)*(A15*COS(AD15)+AF15*SIN(AD15))*C15*2*PI()*0.9</f>
        <v>-1.9358055569654686</v>
      </c>
      <c r="AN15" s="1">
        <f>-4/空力安定性!$G$36/空力安定性!$G$47^2*C15*COS(AD15)*A15^2</f>
        <v>-2.7386046511627907E-2</v>
      </c>
      <c r="AO15" s="1">
        <f>4/空力安定性!$G$36/空力安定性!$G$47*2*A15*C15*SIN(AD15)*空力安定性!$G$33</f>
        <v>0</v>
      </c>
      <c r="AP15" s="1">
        <f>4/空力安定性!$G$36/空力安定性!$G$47^2*2*(A15*COS(AD15)+AF15*SIN(AD15))*C15*A15</f>
        <v>5.4772093023255808E-2</v>
      </c>
      <c r="AQ15" s="1">
        <f>8/空力安定性!$G$36/空力安定性!$G$47^2*A15^2*C15*(-空力安定性!$G$32)</f>
        <v>-4.9256365243309968E-3</v>
      </c>
      <c r="AS15" s="1">
        <f>Z15*プロパティ!D$13</f>
        <v>0.13242418980000001</v>
      </c>
      <c r="AT15" s="1">
        <f>W15*プロパティ!$D$13</f>
        <v>9.3488020306262253E-3</v>
      </c>
      <c r="AU15" s="1">
        <f>AA15*プロパティ!D$13</f>
        <v>0.42037513428599999</v>
      </c>
      <c r="AV15" s="1">
        <f>SUM($AT16:AT$67)*(($A16+$A15)/2-$A15)+AV16</f>
        <v>4.5302418340133911E-2</v>
      </c>
      <c r="AW15" s="1">
        <f t="shared" si="3"/>
        <v>2.9718435405039677E-2</v>
      </c>
      <c r="AX15" s="1">
        <f t="shared" si="18"/>
        <v>3.0060897791423079E-3</v>
      </c>
      <c r="AY15" s="1">
        <f t="shared" si="19"/>
        <v>0.17223625718226801</v>
      </c>
      <c r="AZ15" s="1">
        <f t="shared" si="20"/>
        <v>1.1287586698476013E-4</v>
      </c>
    </row>
    <row r="16" spans="1:52">
      <c r="A16" s="1">
        <f>荷重解析!A12</f>
        <v>0.09</v>
      </c>
      <c r="C16" s="1">
        <f>荷重解析!I12</f>
        <v>0.23</v>
      </c>
      <c r="E16" s="1">
        <f t="shared" si="4"/>
        <v>5.2900000000000003E-2</v>
      </c>
      <c r="F16" s="1">
        <f>$C$7*荷重解析!$D$1-C16*(荷重解析!$D$1)</f>
        <v>0</v>
      </c>
      <c r="G16" s="1">
        <f t="shared" si="5"/>
        <v>0</v>
      </c>
      <c r="H16" s="1">
        <f t="shared" si="6"/>
        <v>13.7333</v>
      </c>
      <c r="I16" s="1">
        <f t="shared" si="7"/>
        <v>14.14526466675</v>
      </c>
      <c r="J16" s="1">
        <f t="shared" si="8"/>
        <v>2.07E-2</v>
      </c>
      <c r="K16" s="1">
        <f t="shared" si="9"/>
        <v>1.8629999999999999E-3</v>
      </c>
      <c r="L16" s="1">
        <f>C16*0.01*一般構造素材物性!$H$22*2</f>
        <v>4.7840000000000001E-2</v>
      </c>
      <c r="M16" s="1">
        <f>一般構造素材物性!$H$34*0.01*主翼細分計算!H16/1000+一般構造素材物性!$H$20*0.005*0.01*2</f>
        <v>6.2725822222222213E-2</v>
      </c>
      <c r="N16" s="1">
        <f>一般構造素材物性!$H$19*0.01*0.015</f>
        <v>1.35E-2</v>
      </c>
      <c r="O16" s="1">
        <f t="shared" si="10"/>
        <v>1.35E-2</v>
      </c>
      <c r="P16" s="1">
        <f>IF(COUNTIF(Python読み込み用データ!$Q$4:$Q$13,主翼細分計算!A16*1000),1,0)</f>
        <v>0</v>
      </c>
      <c r="Q16" s="1">
        <f t="shared" si="11"/>
        <v>1.11428316E-6</v>
      </c>
      <c r="R16" s="1">
        <f t="shared" si="12"/>
        <v>7.1284463960000004E-7</v>
      </c>
      <c r="T16" s="1">
        <f>荷重解析!E12*0.01</f>
        <v>2.2035098600000001E-2</v>
      </c>
      <c r="U16" s="1">
        <f>(荷重解析!F12+荷重解析!F13)/2*0.01</f>
        <v>9.4766414999999991E-4</v>
      </c>
      <c r="V16" s="1">
        <f>(荷重解析!G12+荷重解析!G13)/2*0.5*1.293*(荷重解析!C12^2+荷重解析!$B$1^2)*((C17+C16)/2)*0.01*COS(RADIANS(荷重解析!D12))</f>
        <v>6.1677651364727898E-4</v>
      </c>
      <c r="W16" s="1">
        <f t="shared" si="13"/>
        <v>1.5644406636472789E-3</v>
      </c>
      <c r="X16" s="1">
        <f>(荷重解析!H12+荷重解析!H13)/2*0.5*1.293*(荷重解析!C12^2+荷重解析!$B$1^2)*((C17+C16)/2)^2*0.01</f>
        <v>-6.8927111664217496E-4</v>
      </c>
      <c r="Z16" s="1">
        <f>IF(A16=プロパティ!$D$3,T16-プロパティ!$D$8,T16)</f>
        <v>2.2035098600000001E-2</v>
      </c>
      <c r="AA16" s="1">
        <f>SUM(Z17:$Z$91)*(($A17+$A16)/2-$A16)+AA17</f>
        <v>6.6314490396E-2</v>
      </c>
      <c r="AB16" s="1">
        <f>AC16*H16/1000/2*一般構造素材物性!$M$7/1000</f>
        <v>2.8972420494418678E-4</v>
      </c>
      <c r="AC16" s="1">
        <f t="shared" si="1"/>
        <v>4.6881053100320917E-3</v>
      </c>
      <c r="AD16" s="1">
        <v>0</v>
      </c>
      <c r="AE16" s="1">
        <f t="shared" si="14"/>
        <v>0</v>
      </c>
      <c r="AF16" s="1">
        <f t="shared" si="17"/>
        <v>0</v>
      </c>
      <c r="AG16" s="1">
        <f t="shared" si="2"/>
        <v>0</v>
      </c>
      <c r="AH16" s="1">
        <f t="shared" si="15"/>
        <v>0</v>
      </c>
      <c r="AI16" s="68">
        <f>-2/空力安定性!$G$36*SIN(AD16)^2*C16*PI()*2*0.9</f>
        <v>0</v>
      </c>
      <c r="AJ16" s="1">
        <f t="shared" si="16"/>
        <v>0</v>
      </c>
      <c r="AK16" s="1">
        <f>-2/空力安定性!$G$36/空力安定性!$G$47*A16*C16*SIN(AD16)</f>
        <v>0</v>
      </c>
      <c r="AL16" s="1">
        <f>-4/空力安定性!$G$36/空力安定性!$G$47*A16*SIN(AD16)*COS(AD16)*C16*2*PI()*0.9</f>
        <v>0</v>
      </c>
      <c r="AM16" s="1">
        <f>-4/空力安定性!$G$36/空力安定性!$G$47^2*COS(AD16)*(A16*COS(AD16)+AF16*SIN(AD16))*C16*2*PI()*0.9</f>
        <v>-2.1777812515861519</v>
      </c>
      <c r="AN16" s="1">
        <f>-4/空力安定性!$G$36/空力安定性!$G$47^2*C16*COS(AD16)*A16^2</f>
        <v>-3.4660465116279064E-2</v>
      </c>
      <c r="AO16" s="1">
        <f>4/空力安定性!$G$36/空力安定性!$G$47*2*A16*C16*SIN(AD16)*空力安定性!$G$33</f>
        <v>0</v>
      </c>
      <c r="AP16" s="1">
        <f>4/空力安定性!$G$36/空力安定性!$G$47^2*2*(A16*COS(AD16)+AF16*SIN(AD16))*C16*A16</f>
        <v>6.9320930232558128E-2</v>
      </c>
      <c r="AQ16" s="1">
        <f>8/空力安定性!$G$36/空力安定性!$G$47^2*A16^2*C16*(-空力安定性!$G$32)</f>
        <v>-6.2340087261064173E-3</v>
      </c>
      <c r="AS16" s="1">
        <f>Z16*プロパティ!D$13</f>
        <v>0.13221059160000001</v>
      </c>
      <c r="AT16" s="1">
        <f>W16*プロパティ!$D$13</f>
        <v>9.3866439818836734E-3</v>
      </c>
      <c r="AU16" s="1">
        <f>AA16*プロパティ!D$13</f>
        <v>0.39788694237599997</v>
      </c>
      <c r="AV16" s="1">
        <f>SUM($AT17:AT$67)*(($A17+$A16)/2-$A16)+AV17</f>
        <v>4.3190439780415694E-2</v>
      </c>
      <c r="AW16" s="1">
        <f t="shared" si="3"/>
        <v>2.8128631860192547E-2</v>
      </c>
      <c r="AX16" s="1">
        <f t="shared" si="18"/>
        <v>3.3032741331927048E-3</v>
      </c>
      <c r="AY16" s="1">
        <f t="shared" si="19"/>
        <v>0.18926366640667736</v>
      </c>
      <c r="AZ16" s="1">
        <f t="shared" si="20"/>
        <v>1.4293676477618322E-4</v>
      </c>
    </row>
    <row r="17" spans="1:52">
      <c r="A17" s="1">
        <f>荷重解析!A13</f>
        <v>0.1</v>
      </c>
      <c r="C17" s="1">
        <f>荷重解析!I13</f>
        <v>0.23</v>
      </c>
      <c r="E17" s="1">
        <f t="shared" si="4"/>
        <v>5.2900000000000003E-2</v>
      </c>
      <c r="F17" s="1">
        <f>$C$7*荷重解析!$D$1-C17*(荷重解析!$D$1)</f>
        <v>0</v>
      </c>
      <c r="G17" s="1">
        <f t="shared" si="5"/>
        <v>0</v>
      </c>
      <c r="H17" s="1">
        <f t="shared" si="6"/>
        <v>13.7333</v>
      </c>
      <c r="I17" s="1">
        <f t="shared" si="7"/>
        <v>14.14526466675</v>
      </c>
      <c r="J17" s="1">
        <f t="shared" si="8"/>
        <v>2.3000000000000003E-2</v>
      </c>
      <c r="K17" s="1">
        <f t="shared" si="9"/>
        <v>2.3000000000000004E-3</v>
      </c>
      <c r="L17" s="1">
        <f>C17*0.01*一般構造素材物性!$H$22*2</f>
        <v>4.7840000000000001E-2</v>
      </c>
      <c r="M17" s="1">
        <f>一般構造素材物性!$H$34*0.01*主翼細分計算!H17/1000+一般構造素材物性!$H$20*0.005*0.01*2</f>
        <v>6.2725822222222213E-2</v>
      </c>
      <c r="N17" s="1">
        <f>一般構造素材物性!$H$19*0.01*0.015</f>
        <v>1.35E-2</v>
      </c>
      <c r="O17" s="1">
        <f t="shared" si="10"/>
        <v>1.35E-2</v>
      </c>
      <c r="P17" s="1">
        <f>IF(COUNTIF(Python読み込み用データ!$Q$4:$Q$13,主翼細分計算!A17*1000),1,0)</f>
        <v>1</v>
      </c>
      <c r="Q17" s="1">
        <f t="shared" si="11"/>
        <v>1.1375658222222225E-5</v>
      </c>
      <c r="R17" s="1">
        <f t="shared" si="12"/>
        <v>7.1284463960000004E-7</v>
      </c>
      <c r="T17" s="1">
        <f>荷重解析!E13*0.01</f>
        <v>2.19947882E-2</v>
      </c>
      <c r="U17" s="1">
        <f>(荷重解析!F13+荷重解析!F14)/2*0.01</f>
        <v>9.5274120000000007E-4</v>
      </c>
      <c r="V17" s="1">
        <f>(荷重解析!G13+荷重解析!G14)/2*0.5*1.293*(荷重解析!C13^2+荷重解析!$B$1^2)*((C18+C17)/2)*0.01*COS(RADIANS(荷重解析!D13))</f>
        <v>6.1877771444134131E-4</v>
      </c>
      <c r="W17" s="1">
        <f t="shared" si="13"/>
        <v>1.5715189144413413E-3</v>
      </c>
      <c r="X17" s="1">
        <f>(荷重解析!H13+荷重解析!H14)/2*0.5*1.293*(荷重解析!C13^2+荷重解析!$B$1^2)*((C18+C17)/2)^2*0.01</f>
        <v>-6.8991396576903994E-4</v>
      </c>
      <c r="Z17" s="1">
        <f>IF(A17=プロパティ!$D$3,T17-プロパティ!$D$8,T17)</f>
        <v>2.19947882E-2</v>
      </c>
      <c r="AA17" s="1">
        <f>SUM(Z18:$Z$91)*(($A18+$A17)/2-$A17)+AA18</f>
        <v>6.2676633903999995E-2</v>
      </c>
      <c r="AB17" s="1">
        <f>AC17*H17/1000/2*一般構造素材物性!$M$7/1000</f>
        <v>2.7383061858693832E-4</v>
      </c>
      <c r="AC17" s="1">
        <f t="shared" si="1"/>
        <v>4.4309269130416709E-3</v>
      </c>
      <c r="AD17" s="1">
        <v>0</v>
      </c>
      <c r="AE17" s="1">
        <f t="shared" si="14"/>
        <v>0</v>
      </c>
      <c r="AF17" s="1">
        <f t="shared" si="17"/>
        <v>0</v>
      </c>
      <c r="AG17" s="1">
        <f t="shared" si="2"/>
        <v>0</v>
      </c>
      <c r="AH17" s="1">
        <f t="shared" si="15"/>
        <v>0</v>
      </c>
      <c r="AI17" s="68">
        <f>-2/空力安定性!$G$36*SIN(AD17)^2*C17*PI()*2*0.9</f>
        <v>0</v>
      </c>
      <c r="AJ17" s="1">
        <f t="shared" si="16"/>
        <v>0</v>
      </c>
      <c r="AK17" s="1">
        <f>-2/空力安定性!$G$36/空力安定性!$G$47*A17*C17*SIN(AD17)</f>
        <v>0</v>
      </c>
      <c r="AL17" s="1">
        <f>-4/空力安定性!$G$36/空力安定性!$G$47*A17*SIN(AD17)*COS(AD17)*C17*2*PI()*0.9</f>
        <v>0</v>
      </c>
      <c r="AM17" s="1">
        <f>-4/空力安定性!$G$36/空力安定性!$G$47^2*COS(AD17)*(A17*COS(AD17)+AF17*SIN(AD17))*C17*2*PI()*0.9</f>
        <v>-2.4197569462068356</v>
      </c>
      <c r="AN17" s="1">
        <f>-4/空力安定性!$G$36/空力安定性!$G$47^2*C17*COS(AD17)*A17^2</f>
        <v>-4.2790697674418607E-2</v>
      </c>
      <c r="AO17" s="1">
        <f>4/空力安定性!$G$36/空力安定性!$G$47*2*A17*C17*SIN(AD17)*空力安定性!$G$33</f>
        <v>0</v>
      </c>
      <c r="AP17" s="1">
        <f>4/空力安定性!$G$36/空力安定性!$G$47^2*2*(A17*COS(AD17)+AF17*SIN(AD17))*C17*A17</f>
        <v>8.55813953488372E-2</v>
      </c>
      <c r="AQ17" s="1">
        <f>8/空力安定性!$G$36/空力安定性!$G$47^2*A17^2*C17*(-空力安定性!$G$32)</f>
        <v>-7.6963070692671843E-3</v>
      </c>
      <c r="AS17" s="1">
        <f>Z17*プロパティ!D$13</f>
        <v>0.1319687292</v>
      </c>
      <c r="AT17" s="1">
        <f>W17*プロパティ!$D$13</f>
        <v>9.4291134866480476E-3</v>
      </c>
      <c r="AU17" s="1">
        <f>AA17*プロパティ!D$13</f>
        <v>0.37605980342399997</v>
      </c>
      <c r="AV17" s="1">
        <f>SUM($AT18:AT$67)*(($A18+$A17)/2-$A17)+AV18</f>
        <v>4.1125394440606894E-2</v>
      </c>
      <c r="AW17" s="1">
        <f t="shared" si="3"/>
        <v>2.6585561478250024E-2</v>
      </c>
      <c r="AX17" s="1">
        <f t="shared" si="18"/>
        <v>3.5845604517946304E-3</v>
      </c>
      <c r="AY17" s="1">
        <f t="shared" si="19"/>
        <v>0.2053801852973399</v>
      </c>
      <c r="AZ17" s="1">
        <f t="shared" si="20"/>
        <v>1.7596950610811028E-4</v>
      </c>
    </row>
    <row r="18" spans="1:52">
      <c r="A18" s="1">
        <f>荷重解析!A14</f>
        <v>0.11</v>
      </c>
      <c r="C18" s="1">
        <f>荷重解析!I14</f>
        <v>0.23</v>
      </c>
      <c r="E18" s="1">
        <f t="shared" si="4"/>
        <v>5.2900000000000003E-2</v>
      </c>
      <c r="F18" s="1">
        <f>$C$7*荷重解析!$D$1-C18*(荷重解析!$D$1)</f>
        <v>0</v>
      </c>
      <c r="G18" s="1">
        <f t="shared" si="5"/>
        <v>0</v>
      </c>
      <c r="H18" s="1">
        <f t="shared" si="6"/>
        <v>13.7333</v>
      </c>
      <c r="I18" s="1">
        <f t="shared" si="7"/>
        <v>14.14526466675</v>
      </c>
      <c r="J18" s="1">
        <f t="shared" si="8"/>
        <v>2.53E-2</v>
      </c>
      <c r="K18" s="1">
        <f t="shared" si="9"/>
        <v>2.7829999999999999E-3</v>
      </c>
      <c r="L18" s="1">
        <f>C18*0.01*一般構造素材物性!$H$22*2</f>
        <v>4.7840000000000001E-2</v>
      </c>
      <c r="M18" s="1">
        <f>一般構造素材物性!$H$34*0.01*主翼細分計算!H18/1000+一般構造素材物性!$H$20*0.005*0.01*2</f>
        <v>6.2725822222222213E-2</v>
      </c>
      <c r="N18" s="1">
        <f>一般構造素材物性!$H$19*0.01*0.015</f>
        <v>1.35E-2</v>
      </c>
      <c r="O18" s="1">
        <f t="shared" si="10"/>
        <v>1.35E-2</v>
      </c>
      <c r="P18" s="1">
        <f>IF(COUNTIF(Python読み込み用データ!$Q$4:$Q$13,主翼細分計算!A18*1000),1,0)</f>
        <v>0</v>
      </c>
      <c r="Q18" s="1">
        <f t="shared" si="11"/>
        <v>1.6645464488888889E-6</v>
      </c>
      <c r="R18" s="1">
        <f t="shared" si="12"/>
        <v>7.1284463960000004E-7</v>
      </c>
      <c r="T18" s="1">
        <f>荷重解析!E14*0.01</f>
        <v>2.1949601699999998E-2</v>
      </c>
      <c r="U18" s="1">
        <f>(荷重解析!F14+荷重解析!F15)/2*0.01</f>
        <v>9.5837804999999998E-4</v>
      </c>
      <c r="V18" s="1">
        <f>(荷重解析!G14+荷重解析!G15)/2*0.5*1.293*(荷重解析!C14^2+荷重解析!$B$1^2)*((C19+C18)/2)*0.01*COS(RADIANS(荷重解析!D14))</f>
        <v>6.2101233907955892E-4</v>
      </c>
      <c r="W18" s="1">
        <f t="shared" si="13"/>
        <v>1.5793903890795589E-3</v>
      </c>
      <c r="X18" s="1">
        <f>(荷重解析!H14+荷重解析!H15)/2*0.5*1.293*(荷重解析!C14^2+荷重解析!$B$1^2)*((C19+C18)/2)^2*0.01</f>
        <v>-6.906322582363822E-4</v>
      </c>
      <c r="Z18" s="1">
        <f>IF(A18=プロパティ!$D$3,T18-プロパティ!$D$8,T18)</f>
        <v>2.1949601699999998E-2</v>
      </c>
      <c r="AA18" s="1">
        <f>SUM(Z19:$Z$91)*(($A19+$A18)/2-$A18)+AA19</f>
        <v>5.914875135299999E-2</v>
      </c>
      <c r="AB18" s="1">
        <f>AC18*H18/1000/2*一般構造素材物性!$M$7/1000</f>
        <v>2.5841750207015058E-4</v>
      </c>
      <c r="AC18" s="1">
        <f t="shared" si="1"/>
        <v>4.1815231278093815E-3</v>
      </c>
      <c r="AD18" s="1">
        <v>0</v>
      </c>
      <c r="AE18" s="1">
        <f t="shared" si="14"/>
        <v>0</v>
      </c>
      <c r="AF18" s="1">
        <f t="shared" si="17"/>
        <v>0</v>
      </c>
      <c r="AG18" s="1">
        <f t="shared" si="2"/>
        <v>0</v>
      </c>
      <c r="AH18" s="1">
        <f t="shared" si="15"/>
        <v>0</v>
      </c>
      <c r="AI18" s="68">
        <f>-2/空力安定性!$G$36*SIN(AD18)^2*C18*PI()*2*0.9</f>
        <v>0</v>
      </c>
      <c r="AJ18" s="1">
        <f t="shared" si="16"/>
        <v>0</v>
      </c>
      <c r="AK18" s="1">
        <f>-2/空力安定性!$G$36/空力安定性!$G$47*A18*C18*SIN(AD18)</f>
        <v>0</v>
      </c>
      <c r="AL18" s="1">
        <f>-4/空力安定性!$G$36/空力安定性!$G$47*A18*SIN(AD18)*COS(AD18)*C18*2*PI()*0.9</f>
        <v>0</v>
      </c>
      <c r="AM18" s="1">
        <f>-4/空力安定性!$G$36/空力安定性!$G$47^2*COS(AD18)*(A18*COS(AD18)+AF18*SIN(AD18))*C18*2*PI()*0.9</f>
        <v>-2.6617326408275193</v>
      </c>
      <c r="AN18" s="1">
        <f>-4/空力安定性!$G$36/空力安定性!$G$47^2*C18*COS(AD18)*A18^2</f>
        <v>-5.1776744186046504E-2</v>
      </c>
      <c r="AO18" s="1">
        <f>4/空力安定性!$G$36/空力安定性!$G$47*2*A18*C18*SIN(AD18)*空力安定性!$G$33</f>
        <v>0</v>
      </c>
      <c r="AP18" s="1">
        <f>4/空力安定性!$G$36/空力安定性!$G$47^2*2*(A18*COS(AD18)+AF18*SIN(AD18))*C18*A18</f>
        <v>0.10355348837209301</v>
      </c>
      <c r="AQ18" s="1">
        <f>8/空力安定性!$G$36/空力安定性!$G$47^2*A18^2*C18*(-空力安定性!$G$32)</f>
        <v>-9.312531553813291E-3</v>
      </c>
      <c r="AS18" s="1">
        <f>Z18*プロパティ!D$13</f>
        <v>0.13169761019999998</v>
      </c>
      <c r="AT18" s="1">
        <f>W18*プロパティ!$D$13</f>
        <v>9.4763423344773542E-3</v>
      </c>
      <c r="AU18" s="1">
        <f>AA18*プロパティ!D$13</f>
        <v>0.35489250811799994</v>
      </c>
      <c r="AV18" s="1">
        <f>SUM($AT19:AT$67)*(($A19+$A18)/2-$A18)+AV19</f>
        <v>3.9107494668231331E-2</v>
      </c>
      <c r="AW18" s="1">
        <f t="shared" si="3"/>
        <v>2.5089138766856291E-2</v>
      </c>
      <c r="AX18" s="1">
        <f t="shared" si="18"/>
        <v>3.8504160665771307E-3</v>
      </c>
      <c r="AY18" s="1">
        <f t="shared" si="19"/>
        <v>0.220612589984233</v>
      </c>
      <c r="AZ18" s="1">
        <f t="shared" si="20"/>
        <v>2.1181511062605659E-4</v>
      </c>
    </row>
    <row r="19" spans="1:52">
      <c r="A19" s="1">
        <f>荷重解析!A15</f>
        <v>0.12</v>
      </c>
      <c r="C19" s="1">
        <f>荷重解析!I15</f>
        <v>0.23</v>
      </c>
      <c r="E19" s="1">
        <f t="shared" si="4"/>
        <v>5.2900000000000003E-2</v>
      </c>
      <c r="F19" s="1">
        <f>$C$7*荷重解析!$D$1-C19*(荷重解析!$D$1)</f>
        <v>0</v>
      </c>
      <c r="G19" s="1">
        <f t="shared" si="5"/>
        <v>0</v>
      </c>
      <c r="H19" s="1">
        <f t="shared" si="6"/>
        <v>13.7333</v>
      </c>
      <c r="I19" s="1">
        <f t="shared" si="7"/>
        <v>14.14526466675</v>
      </c>
      <c r="J19" s="1">
        <f t="shared" si="8"/>
        <v>2.76E-2</v>
      </c>
      <c r="K19" s="1">
        <f t="shared" si="9"/>
        <v>3.3119999999999998E-3</v>
      </c>
      <c r="L19" s="1">
        <f>C19*0.01*一般構造素材物性!$H$22*2</f>
        <v>4.7840000000000001E-2</v>
      </c>
      <c r="M19" s="1">
        <f>一般構造素材物性!$H$34*0.01*主翼細分計算!H19/1000+一般構造素材物性!$H$20*0.005*0.01*2</f>
        <v>6.2725822222222213E-2</v>
      </c>
      <c r="N19" s="1">
        <f>一般構造素材物性!$H$19*0.01*0.015</f>
        <v>1.35E-2</v>
      </c>
      <c r="O19" s="1">
        <f t="shared" si="10"/>
        <v>1.35E-2</v>
      </c>
      <c r="P19" s="1">
        <f>IF(COUNTIF(Python読み込み用データ!$Q$4:$Q$13,主翼細分計算!A19*1000),1,0)</f>
        <v>0</v>
      </c>
      <c r="Q19" s="1">
        <f t="shared" si="11"/>
        <v>1.9809478399999999E-6</v>
      </c>
      <c r="R19" s="1">
        <f t="shared" si="12"/>
        <v>7.1284463960000004E-7</v>
      </c>
      <c r="T19" s="1">
        <f>荷重解析!E15*0.01</f>
        <v>2.18993286E-2</v>
      </c>
      <c r="U19" s="1">
        <f>(荷重解析!F15+荷重解析!F16)/2*0.01</f>
        <v>9.6459065000000009E-4</v>
      </c>
      <c r="V19" s="1">
        <f>(荷重解析!G15+荷重解析!G16)/2*0.5*1.293*(荷重解析!C15^2+荷重解析!$B$1^2)*((C20+C19)/2)*0.01*COS(RADIANS(荷重解析!D15))</f>
        <v>6.2349084361630418E-4</v>
      </c>
      <c r="W19" s="1">
        <f t="shared" si="13"/>
        <v>1.5880814936163044E-3</v>
      </c>
      <c r="X19" s="1">
        <f>(荷重解析!H15+荷重解析!H16)/2*0.5*1.293*(荷重解析!C15^2+荷重解析!$B$1^2)*((C20+C19)/2)^2*0.01</f>
        <v>-6.9142947513336963E-4</v>
      </c>
      <c r="Z19" s="1">
        <f>IF(A19=プロパティ!$D$3,T19-プロパティ!$D$8,T19)</f>
        <v>2.18993286E-2</v>
      </c>
      <c r="AA19" s="1">
        <f>SUM(Z20:$Z$91)*(($A20+$A19)/2-$A19)+AA20</f>
        <v>5.5730616810499997E-2</v>
      </c>
      <c r="AB19" s="1">
        <f>AC19*H19/1000/2*一般構造素材物性!$M$7/1000</f>
        <v>2.4348386830769003E-4</v>
      </c>
      <c r="AC19" s="1">
        <f t="shared" si="1"/>
        <v>3.9398779820289213E-3</v>
      </c>
      <c r="AD19" s="1">
        <v>0</v>
      </c>
      <c r="AE19" s="1">
        <f t="shared" si="14"/>
        <v>0</v>
      </c>
      <c r="AF19" s="1">
        <f t="shared" si="17"/>
        <v>0</v>
      </c>
      <c r="AG19" s="1">
        <f t="shared" si="2"/>
        <v>0</v>
      </c>
      <c r="AH19" s="1">
        <f t="shared" si="15"/>
        <v>0</v>
      </c>
      <c r="AI19" s="68">
        <f>-2/空力安定性!$G$36*SIN(AD19)^2*C19*PI()*2*0.9</f>
        <v>0</v>
      </c>
      <c r="AJ19" s="1">
        <f t="shared" si="16"/>
        <v>0</v>
      </c>
      <c r="AK19" s="1">
        <f>-2/空力安定性!$G$36/空力安定性!$G$47*A19*C19*SIN(AD19)</f>
        <v>0</v>
      </c>
      <c r="AL19" s="1">
        <f>-4/空力安定性!$G$36/空力安定性!$G$47*A19*SIN(AD19)*COS(AD19)*C19*2*PI()*0.9</f>
        <v>0</v>
      </c>
      <c r="AM19" s="1">
        <f>-4/空力安定性!$G$36/空力安定性!$G$47^2*COS(AD19)*(A19*COS(AD19)+AF19*SIN(AD19))*C19*2*PI()*0.9</f>
        <v>-2.9037083354482025</v>
      </c>
      <c r="AN19" s="1">
        <f>-4/空力安定性!$G$36/空力安定性!$G$47^2*C19*COS(AD19)*A19^2</f>
        <v>-6.1618604651162784E-2</v>
      </c>
      <c r="AO19" s="1">
        <f>4/空力安定性!$G$36/空力安定性!$G$47*2*A19*C19*SIN(AD19)*空力安定性!$G$33</f>
        <v>0</v>
      </c>
      <c r="AP19" s="1">
        <f>4/空力安定性!$G$36/空力安定性!$G$47^2*2*(A19*COS(AD19)+AF19*SIN(AD19))*C19*A19</f>
        <v>0.12323720930232554</v>
      </c>
      <c r="AQ19" s="1">
        <f>8/空力安定性!$G$36/空力安定性!$G$47^2*A19^2*C19*(-空力安定性!$G$32)</f>
        <v>-1.1082682179744742E-2</v>
      </c>
      <c r="AS19" s="1">
        <f>Z19*プロパティ!D$13</f>
        <v>0.13139597159999999</v>
      </c>
      <c r="AT19" s="1">
        <f>W19*プロパティ!$D$13</f>
        <v>9.5284889616978272E-3</v>
      </c>
      <c r="AU19" s="1">
        <f>AA19*プロパティ!D$13</f>
        <v>0.33438370086299996</v>
      </c>
      <c r="AV19" s="1">
        <f>SUM($AT20:AT$67)*(($A20+$A19)/2-$A19)+AV20</f>
        <v>3.7136976607528162E-2</v>
      </c>
      <c r="AW19" s="1">
        <f t="shared" si="3"/>
        <v>2.3639267892173528E-2</v>
      </c>
      <c r="AX19" s="1">
        <f t="shared" si="18"/>
        <v>4.1013074542456934E-3</v>
      </c>
      <c r="AY19" s="1">
        <f t="shared" si="19"/>
        <v>0.2349876076138222</v>
      </c>
      <c r="AZ19" s="1">
        <f t="shared" si="20"/>
        <v>2.5031927129182791E-4</v>
      </c>
    </row>
    <row r="20" spans="1:52">
      <c r="A20" s="1">
        <f>荷重解析!A16</f>
        <v>0.13</v>
      </c>
      <c r="C20" s="1">
        <f>荷重解析!I16</f>
        <v>0.23</v>
      </c>
      <c r="E20" s="1">
        <f t="shared" si="4"/>
        <v>5.2900000000000003E-2</v>
      </c>
      <c r="F20" s="1">
        <f>$C$7*荷重解析!$D$1-C20*(荷重解析!$D$1)</f>
        <v>0</v>
      </c>
      <c r="G20" s="1">
        <f t="shared" si="5"/>
        <v>0</v>
      </c>
      <c r="H20" s="1">
        <f t="shared" si="6"/>
        <v>13.7333</v>
      </c>
      <c r="I20" s="1">
        <f t="shared" si="7"/>
        <v>14.14526466675</v>
      </c>
      <c r="J20" s="1">
        <f t="shared" si="8"/>
        <v>2.9900000000000003E-2</v>
      </c>
      <c r="K20" s="1">
        <f t="shared" si="9"/>
        <v>3.8870000000000007E-3</v>
      </c>
      <c r="L20" s="1">
        <f>C20*0.01*一般構造素材物性!$H$22*2</f>
        <v>4.7840000000000001E-2</v>
      </c>
      <c r="M20" s="1">
        <f>一般構造素材物性!$H$34*0.01*主翼細分計算!H20/1000+一般構造素材物性!$H$20*0.005*0.01*2</f>
        <v>6.2725822222222213E-2</v>
      </c>
      <c r="N20" s="1">
        <f>一般構造素材物性!$H$19*0.01*0.015</f>
        <v>1.35E-2</v>
      </c>
      <c r="O20" s="1">
        <f t="shared" si="10"/>
        <v>1.35E-2</v>
      </c>
      <c r="P20" s="1">
        <f>IF(COUNTIF(Python読み込み用データ!$Q$4:$Q$13,主翼細分計算!A20*1000),1,0)</f>
        <v>0</v>
      </c>
      <c r="Q20" s="1">
        <f t="shared" si="11"/>
        <v>2.3248623955555558E-6</v>
      </c>
      <c r="R20" s="1">
        <f t="shared" si="12"/>
        <v>7.1284463960000004E-7</v>
      </c>
      <c r="T20" s="1">
        <f>荷重解析!E16*0.01</f>
        <v>2.18437275E-2</v>
      </c>
      <c r="U20" s="1">
        <f>(荷重解析!F16+荷重解析!F17)/2*0.01</f>
        <v>9.7139955000000004E-4</v>
      </c>
      <c r="V20" s="1">
        <f>(荷重解析!G16+荷重解析!G17)/2*0.5*1.293*(荷重解析!C16^2+荷重解析!$B$1^2)*((C21+C20)/2)*0.01*COS(RADIANS(荷重解析!D16))</f>
        <v>6.2622658661259684E-4</v>
      </c>
      <c r="W20" s="1">
        <f t="shared" si="13"/>
        <v>1.5976261366125969E-3</v>
      </c>
      <c r="X20" s="1">
        <f>(荷重解析!H16+荷重解析!H17)/2*0.5*1.293*(荷重解析!C16^2+荷重解析!$B$1^2)*((C21+C20)/2)^2*0.01</f>
        <v>-6.9230972747389081E-4</v>
      </c>
      <c r="Z20" s="1">
        <f>IF(A20=プロパティ!$D$3,T20-プロパティ!$D$8,T20)</f>
        <v>2.18437275E-2</v>
      </c>
      <c r="AA20" s="1">
        <f>SUM(Z21:$Z$91)*(($A21+$A20)/2-$A20)+AA21</f>
        <v>5.2421978910999992E-2</v>
      </c>
      <c r="AB20" s="1">
        <f>AC20*H20/1000/2*一般構造素材物性!$M$7/1000</f>
        <v>2.2902861909810456E-4</v>
      </c>
      <c r="AC20" s="1">
        <f t="shared" si="1"/>
        <v>3.7059737054071259E-3</v>
      </c>
      <c r="AD20" s="1">
        <v>0</v>
      </c>
      <c r="AE20" s="1">
        <f t="shared" si="14"/>
        <v>0</v>
      </c>
      <c r="AF20" s="1">
        <f t="shared" si="17"/>
        <v>0</v>
      </c>
      <c r="AG20" s="1">
        <f t="shared" si="2"/>
        <v>0</v>
      </c>
      <c r="AH20" s="1">
        <f t="shared" si="15"/>
        <v>0</v>
      </c>
      <c r="AI20" s="68">
        <f>-2/空力安定性!$G$36*SIN(AD20)^2*C20*PI()*2*0.9</f>
        <v>0</v>
      </c>
      <c r="AJ20" s="1">
        <f t="shared" si="16"/>
        <v>0</v>
      </c>
      <c r="AK20" s="1">
        <f>-2/空力安定性!$G$36/空力安定性!$G$47*A20*C20*SIN(AD20)</f>
        <v>0</v>
      </c>
      <c r="AL20" s="1">
        <f>-4/空力安定性!$G$36/空力安定性!$G$47*A20*SIN(AD20)*COS(AD20)*C20*2*PI()*0.9</f>
        <v>0</v>
      </c>
      <c r="AM20" s="1">
        <f>-4/空力安定性!$G$36/空力安定性!$G$47^2*COS(AD20)*(A20*COS(AD20)+AF20*SIN(AD20))*C20*2*PI()*0.9</f>
        <v>-3.1456840300688871</v>
      </c>
      <c r="AN20" s="1">
        <f>-4/空力安定性!$G$36/空力安定性!$G$47^2*C20*COS(AD20)*A20^2</f>
        <v>-7.2316279069767439E-2</v>
      </c>
      <c r="AO20" s="1">
        <f>4/空力安定性!$G$36/空力安定性!$G$47*2*A20*C20*SIN(AD20)*空力安定性!$G$33</f>
        <v>0</v>
      </c>
      <c r="AP20" s="1">
        <f>4/空力安定性!$G$36/空力安定性!$G$47^2*2*(A20*COS(AD20)+AF20*SIN(AD20))*C20*A20</f>
        <v>0.14463255813953491</v>
      </c>
      <c r="AQ20" s="1">
        <f>8/空力安定性!$G$36/空力安定性!$G$47^2*A20^2*C20*(-空力安定性!$G$32)</f>
        <v>-1.3006758947061539E-2</v>
      </c>
      <c r="AS20" s="1">
        <f>Z20*プロパティ!D$13</f>
        <v>0.13106236500000001</v>
      </c>
      <c r="AT20" s="1">
        <f>W20*プロパティ!$D$13</f>
        <v>9.5857568196755817E-3</v>
      </c>
      <c r="AU20" s="1">
        <f>AA20*プロパティ!D$13</f>
        <v>0.31453187346599998</v>
      </c>
      <c r="AV20" s="1">
        <f>SUM($AT21:AT$67)*(($A21+$A20)/2-$A20)+AV21</f>
        <v>3.5214100991633475E-2</v>
      </c>
      <c r="AW20" s="1">
        <f t="shared" si="3"/>
        <v>2.2235842232442758E-2</v>
      </c>
      <c r="AX20" s="1">
        <f t="shared" si="18"/>
        <v>4.3377001331674284E-3</v>
      </c>
      <c r="AY20" s="1">
        <f t="shared" si="19"/>
        <v>0.2485319104238288</v>
      </c>
      <c r="AZ20" s="1">
        <f t="shared" si="20"/>
        <v>2.9133234583428487E-4</v>
      </c>
    </row>
    <row r="21" spans="1:52">
      <c r="A21" s="1">
        <f>荷重解析!A17</f>
        <v>0.14000000000000001</v>
      </c>
      <c r="C21" s="1">
        <f>荷重解析!I17</f>
        <v>0.23</v>
      </c>
      <c r="E21" s="1">
        <f t="shared" si="4"/>
        <v>5.2900000000000003E-2</v>
      </c>
      <c r="F21" s="1">
        <f>$C$7*荷重解析!$D$1-C21*(荷重解析!$D$1)</f>
        <v>0</v>
      </c>
      <c r="G21" s="1">
        <f t="shared" si="5"/>
        <v>0</v>
      </c>
      <c r="H21" s="1">
        <f t="shared" si="6"/>
        <v>13.7333</v>
      </c>
      <c r="I21" s="1">
        <f t="shared" si="7"/>
        <v>14.14526466675</v>
      </c>
      <c r="J21" s="1">
        <f t="shared" si="8"/>
        <v>3.2200000000000006E-2</v>
      </c>
      <c r="K21" s="1">
        <f t="shared" si="9"/>
        <v>4.5080000000000016E-3</v>
      </c>
      <c r="L21" s="1">
        <f>C21*0.01*一般構造素材物性!$H$22*2</f>
        <v>4.7840000000000001E-2</v>
      </c>
      <c r="M21" s="1">
        <f>一般構造素材物性!$H$34*0.01*主翼細分計算!H21/1000+一般構造素材物性!$H$20*0.005*0.01*2</f>
        <v>6.2725822222222213E-2</v>
      </c>
      <c r="N21" s="1">
        <f>一般構造素材物性!$H$19*0.01*0.015</f>
        <v>1.35E-2</v>
      </c>
      <c r="O21" s="1">
        <f t="shared" si="10"/>
        <v>1.35E-2</v>
      </c>
      <c r="P21" s="1">
        <f>IF(COUNTIF(Python読み込み用データ!$Q$4:$Q$13,主翼細分計算!A21*1000),1,0)</f>
        <v>0</v>
      </c>
      <c r="Q21" s="1">
        <f t="shared" si="11"/>
        <v>2.6962901155555559E-6</v>
      </c>
      <c r="R21" s="1">
        <f t="shared" si="12"/>
        <v>7.1284463960000004E-7</v>
      </c>
      <c r="T21" s="1">
        <f>荷重解析!E17*0.01</f>
        <v>2.1782473100000001E-2</v>
      </c>
      <c r="U21" s="1">
        <f>(荷重解析!F17+荷重解析!F18)/2*0.01</f>
        <v>9.7882609999999995E-4</v>
      </c>
      <c r="V21" s="1">
        <f>(荷重解析!G17+荷重解析!G18)/2*0.5*1.293*(荷重解析!C17^2+荷重解析!$B$1^2)*((C22+C21)/2)*0.01*COS(RADIANS(荷重解析!D17))</f>
        <v>6.2923413489348375E-4</v>
      </c>
      <c r="W21" s="1">
        <f t="shared" si="13"/>
        <v>1.6080602348934837E-3</v>
      </c>
      <c r="X21" s="1">
        <f>(荷重解析!H17+荷重解析!H18)/2*0.5*1.293*(荷重解析!C17^2+荷重解析!$B$1^2)*((C22+C21)/2)^2*0.01</f>
        <v>-6.9327717768225005E-4</v>
      </c>
      <c r="Z21" s="1">
        <f>IF(A21=プロパティ!$D$3,T21-プロパティ!$D$8,T21)</f>
        <v>2.1782473100000001E-2</v>
      </c>
      <c r="AA21" s="1">
        <f>SUM(Z22:$Z$91)*(($A22+$A21)/2-$A21)+AA22</f>
        <v>4.9222559648999992E-2</v>
      </c>
      <c r="AB21" s="1">
        <f>AC21*H21/1000/2*一般構造素材物性!$M$7/1000</f>
        <v>2.1505053985131024E-4</v>
      </c>
      <c r="AC21" s="1">
        <f t="shared" si="1"/>
        <v>3.4797906443350636E-3</v>
      </c>
      <c r="AD21" s="1">
        <v>0</v>
      </c>
      <c r="AE21" s="1">
        <f t="shared" si="14"/>
        <v>0</v>
      </c>
      <c r="AF21" s="1">
        <f t="shared" si="17"/>
        <v>0</v>
      </c>
      <c r="AG21" s="1">
        <f t="shared" si="2"/>
        <v>0</v>
      </c>
      <c r="AH21" s="1">
        <f t="shared" si="15"/>
        <v>0</v>
      </c>
      <c r="AI21" s="68">
        <f>-2/空力安定性!$G$36*SIN(AD21)^2*C21*PI()*2*0.9</f>
        <v>0</v>
      </c>
      <c r="AJ21" s="1">
        <f t="shared" si="16"/>
        <v>0</v>
      </c>
      <c r="AK21" s="1">
        <f>-2/空力安定性!$G$36/空力安定性!$G$47*A21*C21*SIN(AD21)</f>
        <v>0</v>
      </c>
      <c r="AL21" s="1">
        <f>-4/空力安定性!$G$36/空力安定性!$G$47*A21*SIN(AD21)*COS(AD21)*C21*2*PI()*0.9</f>
        <v>0</v>
      </c>
      <c r="AM21" s="1">
        <f>-4/空力安定性!$G$36/空力安定性!$G$47^2*COS(AD21)*(A21*COS(AD21)+AF21*SIN(AD21))*C21*2*PI()*0.9</f>
        <v>-3.3876597246895708</v>
      </c>
      <c r="AN21" s="1">
        <f>-4/空力安定性!$G$36/空力安定性!$G$47^2*C21*COS(AD21)*A21^2</f>
        <v>-8.3869767441860463E-2</v>
      </c>
      <c r="AO21" s="1">
        <f>4/空力安定性!$G$36/空力安定性!$G$47*2*A21*C21*SIN(AD21)*空力安定性!$G$33</f>
        <v>0</v>
      </c>
      <c r="AP21" s="1">
        <f>4/空力安定性!$G$36/空力安定性!$G$47^2*2*(A21*COS(AD21)+AF21*SIN(AD21))*C21*A21</f>
        <v>0.16773953488372095</v>
      </c>
      <c r="AQ21" s="1">
        <f>8/空力安定性!$G$36/空力安定性!$G$47^2*A21^2*C21*(-空力安定性!$G$32)</f>
        <v>-1.5084761855763681E-2</v>
      </c>
      <c r="AS21" s="1">
        <f>Z21*プロパティ!D$13</f>
        <v>0.1306948386</v>
      </c>
      <c r="AT21" s="1">
        <f>W21*プロパティ!$D$13</f>
        <v>9.6483614093609022E-3</v>
      </c>
      <c r="AU21" s="1">
        <f>AA21*プロパティ!D$13</f>
        <v>0.29533535789399995</v>
      </c>
      <c r="AV21" s="1">
        <f>SUM($AT22:AT$67)*(($A22+$A21)/2-$A21)+AV22</f>
        <v>3.3339154159837167E-2</v>
      </c>
      <c r="AW21" s="1">
        <f t="shared" si="3"/>
        <v>2.0878743866010383E-2</v>
      </c>
      <c r="AX21" s="1">
        <f t="shared" si="18"/>
        <v>4.5600585554918562E-3</v>
      </c>
      <c r="AY21" s="1">
        <f t="shared" si="19"/>
        <v>0.26127210956220609</v>
      </c>
      <c r="AZ21" s="1">
        <f t="shared" si="20"/>
        <v>3.3470934716595916E-4</v>
      </c>
    </row>
    <row r="22" spans="1:52">
      <c r="A22" s="1">
        <f>荷重解析!A18</f>
        <v>0.15</v>
      </c>
      <c r="C22" s="1">
        <f>荷重解析!I18</f>
        <v>0.23</v>
      </c>
      <c r="E22" s="1">
        <f t="shared" si="4"/>
        <v>5.2900000000000003E-2</v>
      </c>
      <c r="F22" s="1">
        <f>$C$7*荷重解析!$D$1-C22*(荷重解析!$D$1)</f>
        <v>0</v>
      </c>
      <c r="G22" s="1">
        <f t="shared" si="5"/>
        <v>0</v>
      </c>
      <c r="H22" s="1">
        <f t="shared" si="6"/>
        <v>13.7333</v>
      </c>
      <c r="I22" s="1">
        <f t="shared" si="7"/>
        <v>14.14526466675</v>
      </c>
      <c r="J22" s="1">
        <f t="shared" si="8"/>
        <v>3.4500000000000003E-2</v>
      </c>
      <c r="K22" s="1">
        <f t="shared" si="9"/>
        <v>5.1749999999999999E-3</v>
      </c>
      <c r="L22" s="1">
        <f>C22*0.01*一般構造素材物性!$H$22*2</f>
        <v>4.7840000000000001E-2</v>
      </c>
      <c r="M22" s="1">
        <f>一般構造素材物性!$H$34*0.01*主翼細分計算!H22/1000+一般構造素材物性!$H$20*0.005*0.01*2</f>
        <v>6.2725822222222213E-2</v>
      </c>
      <c r="N22" s="1">
        <f>一般構造素材物性!$H$19*0.01*0.015</f>
        <v>1.35E-2</v>
      </c>
      <c r="O22" s="1">
        <f t="shared" si="10"/>
        <v>1.35E-2</v>
      </c>
      <c r="P22" s="1">
        <f>IF(COUNTIF(Python読み込み用データ!$Q$4:$Q$13,主翼細分計算!A22*1000),1,0)</f>
        <v>1</v>
      </c>
      <c r="Q22" s="1">
        <f t="shared" si="11"/>
        <v>2.5595231E-5</v>
      </c>
      <c r="R22" s="1">
        <f t="shared" si="12"/>
        <v>7.1284463960000004E-7</v>
      </c>
      <c r="T22" s="1">
        <f>荷重解析!E18*0.01</f>
        <v>2.1715273900000002E-2</v>
      </c>
      <c r="U22" s="1">
        <f>(荷重解析!F18+荷重解析!F19)/2*0.01</f>
        <v>9.8689090000000012E-4</v>
      </c>
      <c r="V22" s="1">
        <f>(荷重解析!G18+荷重解析!G19)/2*0.5*1.293*(荷重解析!C18^2+荷重解析!$B$1^2)*((C23+C22)/2)*0.01*COS(RADIANS(荷重解析!D18))</f>
        <v>6.3252871703118664E-4</v>
      </c>
      <c r="W22" s="1">
        <f t="shared" si="13"/>
        <v>1.6194196170311868E-3</v>
      </c>
      <c r="X22" s="1">
        <f>(荷重解析!H18+荷重解析!H19)/2*0.5*1.293*(荷重解析!C18^2+荷重解析!$B$1^2)*((C23+C22)/2)^2*0.01</f>
        <v>-6.9433750109107895E-4</v>
      </c>
      <c r="Z22" s="1">
        <f>IF(A22=プロパティ!$D$3,T22-プロパティ!$D$8,T22)</f>
        <v>2.1715273900000002E-2</v>
      </c>
      <c r="AA22" s="1">
        <f>SUM(Z23:$Z$91)*(($A23+$A22)/2-$A22)+AA23</f>
        <v>4.6132052752499993E-2</v>
      </c>
      <c r="AB22" s="1">
        <f>AC22*H22/1000/2*一般構造素材物性!$M$7/1000</f>
        <v>2.0154829248250598E-4</v>
      </c>
      <c r="AC22" s="1">
        <f t="shared" si="1"/>
        <v>3.2613071469025571E-3</v>
      </c>
      <c r="AD22" s="1">
        <v>0</v>
      </c>
      <c r="AE22" s="1">
        <f t="shared" si="14"/>
        <v>0</v>
      </c>
      <c r="AF22" s="1">
        <f t="shared" si="17"/>
        <v>0</v>
      </c>
      <c r="AG22" s="1">
        <f t="shared" si="2"/>
        <v>0</v>
      </c>
      <c r="AH22" s="1">
        <f t="shared" si="15"/>
        <v>0</v>
      </c>
      <c r="AI22" s="68">
        <f>-2/空力安定性!$G$36*SIN(AD22)^2*C22*PI()*2*0.9</f>
        <v>0</v>
      </c>
      <c r="AJ22" s="1">
        <f t="shared" si="16"/>
        <v>0</v>
      </c>
      <c r="AK22" s="1">
        <f>-2/空力安定性!$G$36/空力安定性!$G$47*A22*C22*SIN(AD22)</f>
        <v>0</v>
      </c>
      <c r="AL22" s="1">
        <f>-4/空力安定性!$G$36/空力安定性!$G$47*A22*SIN(AD22)*COS(AD22)*C22*2*PI()*0.9</f>
        <v>0</v>
      </c>
      <c r="AM22" s="1">
        <f>-4/空力安定性!$G$36/空力安定性!$G$47^2*COS(AD22)*(A22*COS(AD22)+AF22*SIN(AD22))*C22*2*PI()*0.9</f>
        <v>-3.629635419310254</v>
      </c>
      <c r="AN22" s="1">
        <f>-4/空力安定性!$G$36/空力安定性!$G$47^2*C22*COS(AD22)*A22^2</f>
        <v>-9.6279069767441855E-2</v>
      </c>
      <c r="AO22" s="1">
        <f>4/空力安定性!$G$36/空力安定性!$G$47*2*A22*C22*SIN(AD22)*空力安定性!$G$33</f>
        <v>0</v>
      </c>
      <c r="AP22" s="1">
        <f>4/空力安定性!$G$36/空力安定性!$G$47^2*2*(A22*COS(AD22)+AF22*SIN(AD22))*C22*A22</f>
        <v>0.19255813953488371</v>
      </c>
      <c r="AQ22" s="1">
        <f>8/空力安定性!$G$36/空力安定性!$G$47^2*A22^2*C22*(-空力安定性!$G$32)</f>
        <v>-1.7316690905851157E-2</v>
      </c>
      <c r="AS22" s="1">
        <f>Z22*プロパティ!D$13</f>
        <v>0.13029164340000002</v>
      </c>
      <c r="AT22" s="1">
        <f>W22*プロパティ!$D$13</f>
        <v>9.7165177021871201E-3</v>
      </c>
      <c r="AU22" s="1">
        <f>AA22*プロパティ!D$13</f>
        <v>0.27679231651499997</v>
      </c>
      <c r="AV22" s="1">
        <f>SUM($AT23:AT$67)*(($A23+$A22)/2-$A22)+AV23</f>
        <v>3.1512449135087661E-2</v>
      </c>
      <c r="AW22" s="1">
        <f t="shared" si="3"/>
        <v>1.9567842881415342E-2</v>
      </c>
      <c r="AX22" s="1">
        <f t="shared" si="18"/>
        <v>4.7688459941519603E-3</v>
      </c>
      <c r="AY22" s="1">
        <f t="shared" si="19"/>
        <v>0.27323474861277658</v>
      </c>
      <c r="AZ22" s="1">
        <f t="shared" si="20"/>
        <v>3.803099327208777E-4</v>
      </c>
    </row>
    <row r="23" spans="1:52">
      <c r="A23" s="1">
        <f>荷重解析!A19</f>
        <v>0.16</v>
      </c>
      <c r="C23" s="1">
        <f>荷重解析!I19</f>
        <v>0.23</v>
      </c>
      <c r="E23" s="1">
        <f t="shared" si="4"/>
        <v>5.2900000000000003E-2</v>
      </c>
      <c r="F23" s="1">
        <f>$C$7*荷重解析!$D$1-C23*(荷重解析!$D$1)</f>
        <v>0</v>
      </c>
      <c r="G23" s="1">
        <f t="shared" si="5"/>
        <v>0</v>
      </c>
      <c r="H23" s="1">
        <f t="shared" si="6"/>
        <v>13.7333</v>
      </c>
      <c r="I23" s="1">
        <f t="shared" si="7"/>
        <v>14.14526466675</v>
      </c>
      <c r="J23" s="1">
        <f t="shared" si="8"/>
        <v>3.6799999999999999E-2</v>
      </c>
      <c r="K23" s="1">
        <f t="shared" si="9"/>
        <v>5.888E-3</v>
      </c>
      <c r="L23" s="1">
        <f>C23*0.01*一般構造素材物性!$H$22*2</f>
        <v>4.7840000000000001E-2</v>
      </c>
      <c r="M23" s="1">
        <f>一般構造素材物性!$H$34*0.01*主翼細分計算!H23/1000+一般構造素材物性!$H$20*0.005*0.01*2</f>
        <v>6.2725822222222213E-2</v>
      </c>
      <c r="N23" s="1">
        <f>一般構造素材物性!$H$19*0.01*0.015</f>
        <v>1.35E-2</v>
      </c>
      <c r="O23" s="1">
        <f t="shared" si="10"/>
        <v>1.35E-2</v>
      </c>
      <c r="P23" s="1">
        <f>IF(COUNTIF(Python読み込み用データ!$Q$4:$Q$13,主翼細分計算!A23*1000),1,0)</f>
        <v>0</v>
      </c>
      <c r="Q23" s="1">
        <f t="shared" si="11"/>
        <v>3.5216850488888891E-6</v>
      </c>
      <c r="R23" s="1">
        <f t="shared" si="12"/>
        <v>7.1284463960000004E-7</v>
      </c>
      <c r="T23" s="1">
        <f>荷重解析!E19*0.01</f>
        <v>2.1641775200000001E-2</v>
      </c>
      <c r="U23" s="1">
        <f>(荷重解析!F19+荷重解析!F20)/2*0.01</f>
        <v>9.9562260000000025E-4</v>
      </c>
      <c r="V23" s="1">
        <f>(荷重解析!G19+荷重解析!G20)/2*0.5*1.293*(荷重解析!C19^2+荷重解析!$B$1^2)*((C24+C23)/2)*0.01*COS(RADIANS(荷重解析!D19))</f>
        <v>6.3613018258559513E-4</v>
      </c>
      <c r="W23" s="1">
        <f t="shared" si="13"/>
        <v>1.6317527825855955E-3</v>
      </c>
      <c r="X23" s="1">
        <f>(荷重解析!H19+荷重解析!H20)/2*0.5*1.293*(荷重解析!C19^2+荷重解析!$B$1^2)*((C24+C23)/2)^2*0.01</f>
        <v>-6.9549732689106662E-4</v>
      </c>
      <c r="Z23" s="1">
        <f>IF(A23=プロパティ!$D$3,T23-プロパティ!$D$8,T23)</f>
        <v>2.1641775200000001E-2</v>
      </c>
      <c r="AA23" s="1">
        <f>SUM(Z24:$Z$91)*(($A24+$A23)/2-$A23)+AA24</f>
        <v>4.3150122225499993E-2</v>
      </c>
      <c r="AB23" s="1">
        <f>AC23*H23/1000/2*一般構造素材物性!$M$7/1000</f>
        <v>1.8852040904443937E-4</v>
      </c>
      <c r="AC23" s="1">
        <f t="shared" si="1"/>
        <v>3.0504994598601677E-3</v>
      </c>
      <c r="AD23" s="1">
        <v>0</v>
      </c>
      <c r="AE23" s="1">
        <f t="shared" si="14"/>
        <v>0</v>
      </c>
      <c r="AF23" s="1">
        <f t="shared" si="17"/>
        <v>0</v>
      </c>
      <c r="AG23" s="1">
        <f t="shared" si="2"/>
        <v>0</v>
      </c>
      <c r="AH23" s="1">
        <f t="shared" si="15"/>
        <v>0</v>
      </c>
      <c r="AI23" s="68">
        <f>-2/空力安定性!$G$36*SIN(AD23)^2*C23*PI()*2*0.9</f>
        <v>0</v>
      </c>
      <c r="AJ23" s="1">
        <f t="shared" si="16"/>
        <v>0</v>
      </c>
      <c r="AK23" s="1">
        <f>-2/空力安定性!$G$36/空力安定性!$G$47*A23*C23*SIN(AD23)</f>
        <v>0</v>
      </c>
      <c r="AL23" s="1">
        <f>-4/空力安定性!$G$36/空力安定性!$G$47*A23*SIN(AD23)*COS(AD23)*C23*2*PI()*0.9</f>
        <v>0</v>
      </c>
      <c r="AM23" s="1">
        <f>-4/空力安定性!$G$36/空力安定性!$G$47^2*COS(AD23)*(A23*COS(AD23)+AF23*SIN(AD23))*C23*2*PI()*0.9</f>
        <v>-3.8716111139309373</v>
      </c>
      <c r="AN23" s="1">
        <f>-4/空力安定性!$G$36/空力安定性!$G$47^2*C23*COS(AD23)*A23^2</f>
        <v>-0.10954418604651163</v>
      </c>
      <c r="AO23" s="1">
        <f>4/空力安定性!$G$36/空力安定性!$G$47*2*A23*C23*SIN(AD23)*空力安定性!$G$33</f>
        <v>0</v>
      </c>
      <c r="AP23" s="1">
        <f>4/空力安定性!$G$36/空力安定性!$G$47^2*2*(A23*COS(AD23)+AF23*SIN(AD23))*C23*A23</f>
        <v>0.21908837209302323</v>
      </c>
      <c r="AQ23" s="1">
        <f>8/空力安定性!$G$36/空力安定性!$G$47^2*A23^2*C23*(-空力安定性!$G$32)</f>
        <v>-1.9702546097323987E-2</v>
      </c>
      <c r="AS23" s="1">
        <f>Z23*プロパティ!D$13</f>
        <v>0.1298506512</v>
      </c>
      <c r="AT23" s="1">
        <f>W23*プロパティ!$D$13</f>
        <v>9.7905166955135729E-3</v>
      </c>
      <c r="AU23" s="1">
        <f>AA23*プロパティ!D$13</f>
        <v>0.25890073335299996</v>
      </c>
      <c r="AV23" s="1">
        <f>SUM($AT24:AT$67)*(($A24+$A23)/2-$A23)+AV24</f>
        <v>2.9734326698849092E-2</v>
      </c>
      <c r="AW23" s="1">
        <f t="shared" si="3"/>
        <v>1.8302996759161007E-2</v>
      </c>
      <c r="AX23" s="1">
        <f t="shared" si="18"/>
        <v>4.9645244229661141E-3</v>
      </c>
      <c r="AY23" s="1">
        <f t="shared" si="19"/>
        <v>0.2844462967255787</v>
      </c>
      <c r="AZ23" s="1">
        <f t="shared" si="20"/>
        <v>4.279983926623973E-4</v>
      </c>
    </row>
    <row r="24" spans="1:52">
      <c r="A24" s="1">
        <f>荷重解析!A20</f>
        <v>0.17</v>
      </c>
      <c r="C24" s="1">
        <f>荷重解析!I20</f>
        <v>0.23</v>
      </c>
      <c r="E24" s="1">
        <f t="shared" si="4"/>
        <v>5.2900000000000003E-2</v>
      </c>
      <c r="F24" s="1">
        <f>$C$7*荷重解析!$D$1-C24*(荷重解析!$D$1)</f>
        <v>0</v>
      </c>
      <c r="G24" s="1">
        <f t="shared" si="5"/>
        <v>0</v>
      </c>
      <c r="H24" s="1">
        <f t="shared" si="6"/>
        <v>13.7333</v>
      </c>
      <c r="I24" s="1">
        <f t="shared" si="7"/>
        <v>14.14526466675</v>
      </c>
      <c r="J24" s="1">
        <f t="shared" si="8"/>
        <v>3.9100000000000003E-2</v>
      </c>
      <c r="K24" s="1">
        <f t="shared" si="9"/>
        <v>6.647000000000001E-3</v>
      </c>
      <c r="L24" s="1">
        <f>C24*0.01*一般構造素材物性!$H$22*2</f>
        <v>4.7840000000000001E-2</v>
      </c>
      <c r="M24" s="1">
        <f>一般構造素材物性!$H$34*0.01*主翼細分計算!H24/1000+一般構造素材物性!$H$20*0.005*0.01*2</f>
        <v>6.2725822222222213E-2</v>
      </c>
      <c r="N24" s="1">
        <f>一般構造素材物性!$H$19*0.01*0.015</f>
        <v>1.35E-2</v>
      </c>
      <c r="O24" s="1">
        <f t="shared" si="10"/>
        <v>1.35E-2</v>
      </c>
      <c r="P24" s="1">
        <f>IF(COUNTIF(Python読み込み用データ!$Q$4:$Q$13,主翼細分計算!A24*1000),1,0)</f>
        <v>0</v>
      </c>
      <c r="Q24" s="1">
        <f t="shared" si="11"/>
        <v>3.9756522622222231E-6</v>
      </c>
      <c r="R24" s="1">
        <f t="shared" si="12"/>
        <v>7.1284463960000004E-7</v>
      </c>
      <c r="T24" s="1">
        <f>荷重解析!E20*0.01</f>
        <v>2.1561482399999998E-2</v>
      </c>
      <c r="U24" s="1">
        <f>(荷重解析!F20+荷重解析!F21)/2*0.01</f>
        <v>1.0050522500000001E-3</v>
      </c>
      <c r="V24" s="1">
        <f>(荷重解析!G20+荷重解析!G21)/2*0.5*1.293*(荷重解析!C20^2+荷重解析!$B$1^2)*((C25+C24)/2)*0.01*COS(RADIANS(荷重解析!D20))</f>
        <v>6.4006105404633201E-4</v>
      </c>
      <c r="W24" s="1">
        <f t="shared" si="13"/>
        <v>1.6451133040463321E-3</v>
      </c>
      <c r="X24" s="1">
        <f>(荷重解析!H20+荷重解析!H21)/2*0.5*1.293*(荷重解析!C20^2+荷重解析!$B$1^2)*((C25+C24)/2)^2*0.01</f>
        <v>-6.9676337339381151E-4</v>
      </c>
      <c r="Z24" s="1">
        <f>IF(A24=プロパティ!$D$3,T24-プロパティ!$D$8,T24)</f>
        <v>2.1561482399999998E-2</v>
      </c>
      <c r="AA24" s="1">
        <f>SUM(Z25:$Z$91)*(($A25+$A24)/2-$A24)+AA25</f>
        <v>4.0276400574499993E-2</v>
      </c>
      <c r="AB24" s="1">
        <f>AC24*H24/1000/2*一般構造素材物性!$M$7/1000</f>
        <v>1.7596528397908728E-4</v>
      </c>
      <c r="AC24" s="1">
        <f t="shared" si="1"/>
        <v>2.8473416032415498E-3</v>
      </c>
      <c r="AD24" s="1">
        <v>0</v>
      </c>
      <c r="AE24" s="1">
        <f t="shared" si="14"/>
        <v>0</v>
      </c>
      <c r="AF24" s="1">
        <f t="shared" si="17"/>
        <v>0</v>
      </c>
      <c r="AG24" s="1">
        <f t="shared" si="2"/>
        <v>0</v>
      </c>
      <c r="AH24" s="1">
        <f t="shared" si="15"/>
        <v>0</v>
      </c>
      <c r="AI24" s="68">
        <f>-2/空力安定性!$G$36*SIN(AD24)^2*C24*PI()*2*0.9</f>
        <v>0</v>
      </c>
      <c r="AJ24" s="1">
        <f t="shared" si="16"/>
        <v>0</v>
      </c>
      <c r="AK24" s="1">
        <f>-2/空力安定性!$G$36/空力安定性!$G$47*A24*C24*SIN(AD24)</f>
        <v>0</v>
      </c>
      <c r="AL24" s="1">
        <f>-4/空力安定性!$G$36/空力安定性!$G$47*A24*SIN(AD24)*COS(AD24)*C24*2*PI()*0.9</f>
        <v>0</v>
      </c>
      <c r="AM24" s="1">
        <f>-4/空力安定性!$G$36/空力安定性!$G$47^2*COS(AD24)*(A24*COS(AD24)+AF24*SIN(AD24))*C24*2*PI()*0.9</f>
        <v>-4.113586808551621</v>
      </c>
      <c r="AN24" s="1">
        <f>-4/空力安定性!$G$36/空力安定性!$G$47^2*C24*COS(AD24)*A24^2</f>
        <v>-0.12366511627906979</v>
      </c>
      <c r="AO24" s="1">
        <f>4/空力安定性!$G$36/空力安定性!$G$47*2*A24*C24*SIN(AD24)*空力安定性!$G$33</f>
        <v>0</v>
      </c>
      <c r="AP24" s="1">
        <f>4/空力安定性!$G$36/空力安定性!$G$47^2*2*(A24*COS(AD24)+AF24*SIN(AD24))*C24*A24</f>
        <v>0.24733023255813955</v>
      </c>
      <c r="AQ24" s="1">
        <f>8/空力安定性!$G$36/空力安定性!$G$47^2*A24^2*C24*(-空力安定性!$G$32)</f>
        <v>-2.224232743018216E-2</v>
      </c>
      <c r="AS24" s="1">
        <f>Z24*プロパティ!D$13</f>
        <v>0.12936889439999999</v>
      </c>
      <c r="AT24" s="1">
        <f>W24*プロパティ!$D$13</f>
        <v>9.8706798242779933E-3</v>
      </c>
      <c r="AU24" s="1">
        <f>AA24*プロパティ!D$13</f>
        <v>0.24165840344699996</v>
      </c>
      <c r="AV24" s="1">
        <f>SUM($AT25:AT$67)*(($A25+$A24)/2-$A24)+AV25</f>
        <v>2.8005156846088092E-2</v>
      </c>
      <c r="AW24" s="1">
        <f t="shared" si="3"/>
        <v>1.7084049619449298E-2</v>
      </c>
      <c r="AX24" s="1">
        <f t="shared" si="18"/>
        <v>5.1475543905577245E-3</v>
      </c>
      <c r="AY24" s="1">
        <f t="shared" si="19"/>
        <v>0.29493314139299426</v>
      </c>
      <c r="AZ24" s="1">
        <f t="shared" si="20"/>
        <v>4.7764363689205844E-4</v>
      </c>
    </row>
    <row r="25" spans="1:52">
      <c r="A25" s="1">
        <f>荷重解析!A21</f>
        <v>0.18</v>
      </c>
      <c r="C25" s="1">
        <f>荷重解析!I21</f>
        <v>0.23</v>
      </c>
      <c r="E25" s="1">
        <f t="shared" si="4"/>
        <v>5.2900000000000003E-2</v>
      </c>
      <c r="F25" s="1">
        <f>$C$7*荷重解析!$D$1-C25*(荷重解析!$D$1)</f>
        <v>0</v>
      </c>
      <c r="G25" s="1">
        <f t="shared" si="5"/>
        <v>0</v>
      </c>
      <c r="H25" s="1">
        <f t="shared" si="6"/>
        <v>13.7333</v>
      </c>
      <c r="I25" s="1">
        <f t="shared" si="7"/>
        <v>14.14526466675</v>
      </c>
      <c r="J25" s="1">
        <f t="shared" si="8"/>
        <v>4.1399999999999999E-2</v>
      </c>
      <c r="K25" s="1">
        <f t="shared" si="9"/>
        <v>7.4519999999999994E-3</v>
      </c>
      <c r="L25" s="1">
        <f>C25*0.01*一般構造素材物性!$H$22*2</f>
        <v>4.7840000000000001E-2</v>
      </c>
      <c r="M25" s="1">
        <f>一般構造素材物性!$H$34*0.01*主翼細分計算!H25/1000+一般構造素材物性!$H$20*0.005*0.01*2</f>
        <v>6.2725822222222213E-2</v>
      </c>
      <c r="N25" s="1">
        <f>一般構造素材物性!$H$19*0.01*0.015</f>
        <v>1.35E-2</v>
      </c>
      <c r="O25" s="1">
        <f t="shared" si="10"/>
        <v>1.35E-2</v>
      </c>
      <c r="P25" s="1">
        <f>IF(COUNTIF(Python読み込み用データ!$Q$4:$Q$13,主翼細分計算!A25*1000),1,0)</f>
        <v>0</v>
      </c>
      <c r="Q25" s="1">
        <f t="shared" si="11"/>
        <v>4.4571326399999999E-6</v>
      </c>
      <c r="R25" s="1">
        <f t="shared" si="12"/>
        <v>7.1284463960000004E-7</v>
      </c>
      <c r="T25" s="1">
        <f>荷重解析!E21*0.01</f>
        <v>2.1473936199999998E-2</v>
      </c>
      <c r="U25" s="1">
        <f>(荷重解析!F21+荷重解析!F22)/2*0.01</f>
        <v>1.0152131000000001E-3</v>
      </c>
      <c r="V25" s="1">
        <f>(荷重解析!G21+荷重解析!G22)/2*0.5*1.293*(荷重解析!C21^2+荷重解析!$B$1^2)*((C26+C25)/2)*0.01*COS(RADIANS(荷重解析!D21))</f>
        <v>6.4434662383467366E-4</v>
      </c>
      <c r="W25" s="1">
        <f t="shared" si="13"/>
        <v>1.6595597238346737E-3</v>
      </c>
      <c r="X25" s="1">
        <f>(荷重解析!H21+荷重解析!H22)/2*0.5*1.293*(荷重解析!C21^2+荷重解析!$B$1^2)*((C26+C25)/2)^2*0.01</f>
        <v>-6.9814418396462602E-4</v>
      </c>
      <c r="Z25" s="1">
        <f>IF(A25=プロパティ!$D$3,T25-プロパティ!$D$8,T25)</f>
        <v>2.1473936199999998E-2</v>
      </c>
      <c r="AA25" s="1">
        <f>SUM(Z26:$Z$91)*(($A26+$A25)/2-$A25)+AA26</f>
        <v>3.7510486335500005E-2</v>
      </c>
      <c r="AB25" s="1">
        <f>AC25*H25/1000/2*一般構造素材物性!$M$7/1000</f>
        <v>1.6388116331326051E-4</v>
      </c>
      <c r="AC25" s="1">
        <f t="shared" si="1"/>
        <v>2.6518051955346251E-3</v>
      </c>
      <c r="AD25" s="1">
        <v>0</v>
      </c>
      <c r="AE25" s="1">
        <f t="shared" si="14"/>
        <v>0</v>
      </c>
      <c r="AF25" s="1">
        <f t="shared" si="17"/>
        <v>0</v>
      </c>
      <c r="AG25" s="1">
        <f t="shared" si="2"/>
        <v>0</v>
      </c>
      <c r="AH25" s="1">
        <f t="shared" si="15"/>
        <v>0</v>
      </c>
      <c r="AI25" s="68">
        <f>-2/空力安定性!$G$36*SIN(AD25)^2*C25*PI()*2*0.9</f>
        <v>0</v>
      </c>
      <c r="AJ25" s="1">
        <f t="shared" si="16"/>
        <v>0</v>
      </c>
      <c r="AK25" s="1">
        <f>-2/空力安定性!$G$36/空力安定性!$G$47*A25*C25*SIN(AD25)</f>
        <v>0</v>
      </c>
      <c r="AL25" s="1">
        <f>-4/空力安定性!$G$36/空力安定性!$G$47*A25*SIN(AD25)*COS(AD25)*C25*2*PI()*0.9</f>
        <v>0</v>
      </c>
      <c r="AM25" s="1">
        <f>-4/空力安定性!$G$36/空力安定性!$G$47^2*COS(AD25)*(A25*COS(AD25)+AF25*SIN(AD25))*C25*2*PI()*0.9</f>
        <v>-4.3555625031723038</v>
      </c>
      <c r="AN25" s="1">
        <f>-4/空力安定性!$G$36/空力安定性!$G$47^2*C25*COS(AD25)*A25^2</f>
        <v>-0.13864186046511626</v>
      </c>
      <c r="AO25" s="1">
        <f>4/空力安定性!$G$36/空力安定性!$G$47*2*A25*C25*SIN(AD25)*空力安定性!$G$33</f>
        <v>0</v>
      </c>
      <c r="AP25" s="1">
        <f>4/空力安定性!$G$36/空力安定性!$G$47^2*2*(A25*COS(AD25)+AF25*SIN(AD25))*C25*A25</f>
        <v>0.27728372093023251</v>
      </c>
      <c r="AQ25" s="1">
        <f>8/空力安定性!$G$36/空力安定性!$G$47^2*A25^2*C25*(-空力安定性!$G$32)</f>
        <v>-2.4936034904425669E-2</v>
      </c>
      <c r="AS25" s="1">
        <f>Z25*プロパティ!D$13</f>
        <v>0.12884361719999998</v>
      </c>
      <c r="AT25" s="1">
        <f>W25*プロパティ!$D$13</f>
        <v>9.9573583430080416E-3</v>
      </c>
      <c r="AU25" s="1">
        <f>AA25*プロパティ!D$13</f>
        <v>0.22506291801300005</v>
      </c>
      <c r="AV25" s="1">
        <f>SUM($AT26:AT$67)*(($A26+$A25)/2-$A25)+AV26</f>
        <v>2.6325340392448493E-2</v>
      </c>
      <c r="AW25" s="1">
        <f t="shared" si="3"/>
        <v>1.5910831173207751E-2</v>
      </c>
      <c r="AX25" s="1">
        <f t="shared" si="18"/>
        <v>5.3183948867522174E-3</v>
      </c>
      <c r="AY25" s="1">
        <f t="shared" si="19"/>
        <v>0.3047215807948595</v>
      </c>
      <c r="AZ25" s="1">
        <f t="shared" si="20"/>
        <v>5.2911918079763564E-4</v>
      </c>
    </row>
    <row r="26" spans="1:52">
      <c r="A26" s="1">
        <f>荷重解析!A22</f>
        <v>0.19</v>
      </c>
      <c r="C26" s="1">
        <f>荷重解析!I22</f>
        <v>0.23</v>
      </c>
      <c r="E26" s="1">
        <f t="shared" si="4"/>
        <v>5.2900000000000003E-2</v>
      </c>
      <c r="F26" s="1">
        <f>$C$7*荷重解析!$D$1-C26*(荷重解析!$D$1)</f>
        <v>0</v>
      </c>
      <c r="G26" s="1">
        <f t="shared" si="5"/>
        <v>0</v>
      </c>
      <c r="H26" s="1">
        <f t="shared" si="6"/>
        <v>13.7333</v>
      </c>
      <c r="I26" s="1">
        <f t="shared" si="7"/>
        <v>14.14526466675</v>
      </c>
      <c r="J26" s="1">
        <f t="shared" si="8"/>
        <v>4.3700000000000003E-2</v>
      </c>
      <c r="K26" s="1">
        <f t="shared" si="9"/>
        <v>8.3030000000000014E-3</v>
      </c>
      <c r="L26" s="1">
        <f>C26*0.01*一般構造素材物性!$H$22*2</f>
        <v>4.7840000000000001E-2</v>
      </c>
      <c r="M26" s="1">
        <f>一般構造素材物性!$H$34*0.01*主翼細分計算!H26/1000+一般構造素材物性!$H$20*0.005*0.01*2</f>
        <v>6.2725822222222213E-2</v>
      </c>
      <c r="N26" s="1">
        <f>一般構造素材物性!$H$19*0.01*0.015</f>
        <v>1.35E-2</v>
      </c>
      <c r="O26" s="1">
        <f t="shared" si="10"/>
        <v>1.35E-2</v>
      </c>
      <c r="P26" s="1">
        <f>IF(COUNTIF(Python読み込み用データ!$Q$4:$Q$13,主翼細分計算!A26*1000),1,0)</f>
        <v>0</v>
      </c>
      <c r="Q26" s="1">
        <f t="shared" si="11"/>
        <v>4.9661261822222226E-6</v>
      </c>
      <c r="R26" s="1">
        <f t="shared" si="12"/>
        <v>7.1284463960000004E-7</v>
      </c>
      <c r="T26" s="1">
        <f>荷重解析!E22*0.01</f>
        <v>2.1378523399999998E-2</v>
      </c>
      <c r="U26" s="1">
        <f>(荷重解析!F22+荷重解析!F23)/2*0.01</f>
        <v>1.0261473500000002E-3</v>
      </c>
      <c r="V26" s="1">
        <f>(荷重解析!G22+荷重解析!G23)/2*0.5*1.293*(荷重解析!C22^2+荷重解析!$B$1^2)*((C27+C26)/2)*0.01*COS(RADIANS(荷重解析!D22))</f>
        <v>6.490182831011994E-4</v>
      </c>
      <c r="W26" s="1">
        <f t="shared" si="13"/>
        <v>1.6751656331011997E-3</v>
      </c>
      <c r="X26" s="1">
        <f>(荷重解析!H22+荷重解析!H23)/2*0.5*1.293*(荷重解析!C22^2+荷重解析!$B$1^2)*((C27+C26)/2)^2*0.01</f>
        <v>-6.996502237871892E-4</v>
      </c>
      <c r="Z26" s="1">
        <f>IF(A26=プロパティ!$D$3,T26-プロパティ!$D$8,T26)</f>
        <v>2.1378523399999998E-2</v>
      </c>
      <c r="AA26" s="1">
        <f>SUM(Z27:$Z$91)*(($A27+$A26)/2-$A26)+AA27</f>
        <v>3.4851941777500006E-2</v>
      </c>
      <c r="AB26" s="1">
        <f>AC26*H26/1000/2*一般構造素材物性!$M$7/1000</f>
        <v>1.5226613462532681E-4</v>
      </c>
      <c r="AC26" s="1">
        <f t="shared" si="1"/>
        <v>2.4638592913304286E-3</v>
      </c>
      <c r="AD26" s="1">
        <v>0</v>
      </c>
      <c r="AE26" s="1">
        <f t="shared" si="14"/>
        <v>0</v>
      </c>
      <c r="AF26" s="1">
        <f t="shared" si="17"/>
        <v>0</v>
      </c>
      <c r="AG26" s="1">
        <f t="shared" si="2"/>
        <v>0</v>
      </c>
      <c r="AH26" s="1">
        <f t="shared" si="15"/>
        <v>0</v>
      </c>
      <c r="AI26" s="68">
        <f>-2/空力安定性!$G$36*SIN(AD26)^2*C26*PI()*2*0.9</f>
        <v>0</v>
      </c>
      <c r="AJ26" s="1">
        <f t="shared" si="16"/>
        <v>0</v>
      </c>
      <c r="AK26" s="1">
        <f>-2/空力安定性!$G$36/空力安定性!$G$47*A26*C26*SIN(AD26)</f>
        <v>0</v>
      </c>
      <c r="AL26" s="1">
        <f>-4/空力安定性!$G$36/空力安定性!$G$47*A26*SIN(AD26)*COS(AD26)*C26*2*PI()*0.9</f>
        <v>0</v>
      </c>
      <c r="AM26" s="1">
        <f>-4/空力安定性!$G$36/空力安定性!$G$47^2*COS(AD26)*(A26*COS(AD26)+AF26*SIN(AD26))*C26*2*PI()*0.9</f>
        <v>-4.5975381977929883</v>
      </c>
      <c r="AN26" s="1">
        <f>-4/空力安定性!$G$36/空力安定性!$G$47^2*C26*COS(AD26)*A26^2</f>
        <v>-0.15447441860465114</v>
      </c>
      <c r="AO26" s="1">
        <f>4/空力安定性!$G$36/空力安定性!$G$47*2*A26*C26*SIN(AD26)*空力安定性!$G$33</f>
        <v>0</v>
      </c>
      <c r="AP26" s="1">
        <f>4/空力安定性!$G$36/空力安定性!$G$47^2*2*(A26*COS(AD26)+AF26*SIN(AD26))*C26*A26</f>
        <v>0.30894883720930227</v>
      </c>
      <c r="AQ26" s="1">
        <f>8/空力安定性!$G$36/空力安定性!$G$47^2*A26^2*C26*(-空力安定性!$G$32)</f>
        <v>-2.7783668520054528E-2</v>
      </c>
      <c r="AS26" s="1">
        <f>Z26*プロパティ!D$13</f>
        <v>0.12827114039999998</v>
      </c>
      <c r="AT26" s="1">
        <f>W26*プロパティ!$D$13</f>
        <v>1.0050993798607199E-2</v>
      </c>
      <c r="AU26" s="1">
        <f>AA26*プロパティ!D$13</f>
        <v>0.20911165066500004</v>
      </c>
      <c r="AV26" s="1">
        <f>SUM($AT27:AT$67)*(($A27+$A26)/2-$A26)+AV27</f>
        <v>2.4695310730523924E-2</v>
      </c>
      <c r="AW26" s="1">
        <f t="shared" si="3"/>
        <v>1.4783155747982571E-2</v>
      </c>
      <c r="AX26" s="1">
        <f t="shared" si="18"/>
        <v>5.4775031984842949E-3</v>
      </c>
      <c r="AY26" s="1">
        <f t="shared" si="19"/>
        <v>0.31383781554255935</v>
      </c>
      <c r="AZ26" s="1">
        <f t="shared" si="20"/>
        <v>5.8230312966515779E-4</v>
      </c>
    </row>
    <row r="27" spans="1:52">
      <c r="A27" s="1">
        <f>荷重解析!A23</f>
        <v>0.2</v>
      </c>
      <c r="C27" s="1">
        <f>荷重解析!I23</f>
        <v>0.23</v>
      </c>
      <c r="E27" s="1">
        <f t="shared" si="4"/>
        <v>5.2900000000000003E-2</v>
      </c>
      <c r="F27" s="1">
        <f>$C$7*荷重解析!$D$1-C27*(荷重解析!$D$1)</f>
        <v>0</v>
      </c>
      <c r="G27" s="1">
        <f t="shared" si="5"/>
        <v>0</v>
      </c>
      <c r="H27" s="1">
        <f t="shared" si="6"/>
        <v>13.7333</v>
      </c>
      <c r="I27" s="1">
        <f t="shared" si="7"/>
        <v>14.14526466675</v>
      </c>
      <c r="J27" s="1">
        <f t="shared" si="8"/>
        <v>4.6000000000000006E-2</v>
      </c>
      <c r="K27" s="1">
        <f t="shared" si="9"/>
        <v>9.2000000000000016E-3</v>
      </c>
      <c r="L27" s="1">
        <f>C27*0.01*一般構造素材物性!$H$22*2</f>
        <v>4.7840000000000001E-2</v>
      </c>
      <c r="M27" s="1">
        <f>一般構造素材物性!$H$34*0.01*主翼細分計算!H27/1000+一般構造素材物性!$H$20*0.005*0.01*2</f>
        <v>6.2725822222222213E-2</v>
      </c>
      <c r="N27" s="1">
        <f>一般構造素材物性!$H$19*0.01*0.015</f>
        <v>1.35E-2</v>
      </c>
      <c r="O27" s="1">
        <f t="shared" si="10"/>
        <v>1.35E-2</v>
      </c>
      <c r="P27" s="1">
        <f>IF(COUNTIF(Python読み込み用データ!$Q$4:$Q$13,主翼細分計算!A27*1000),1,0)</f>
        <v>1</v>
      </c>
      <c r="Q27" s="1">
        <f t="shared" si="11"/>
        <v>4.5502632888888899E-5</v>
      </c>
      <c r="R27" s="1">
        <f t="shared" si="12"/>
        <v>7.1284463960000004E-7</v>
      </c>
      <c r="T27" s="1">
        <f>荷重解析!E23*0.01</f>
        <v>2.1274516600000001E-2</v>
      </c>
      <c r="U27" s="1">
        <f>(荷重解析!F23+荷重解析!F24)/2*0.01</f>
        <v>1.03790435E-3</v>
      </c>
      <c r="V27" s="1">
        <f>(荷重解析!G23+荷重解析!G24)/2*0.5*1.293*(荷重解析!C23^2+荷重解析!$B$1^2)*((C28+C27)/2)*0.01*COS(RADIANS(荷重解析!D23))</f>
        <v>6.5411365178015589E-4</v>
      </c>
      <c r="W27" s="1">
        <f t="shared" si="13"/>
        <v>1.6920180017801559E-3</v>
      </c>
      <c r="X27" s="1">
        <f>(荷重解析!H23+荷重解析!H24)/2*0.5*1.293*(荷重解析!C23^2+荷重解析!$B$1^2)*((C28+C27)/2)^2*0.01</f>
        <v>-7.0129356854092904E-4</v>
      </c>
      <c r="Z27" s="1">
        <f>IF(A27=プロパティ!$D$3,T27-プロパティ!$D$8,T27)</f>
        <v>2.1274516600000001E-2</v>
      </c>
      <c r="AA27" s="1">
        <f>SUM(Z28:$Z$91)*(($A28+$A27)/2-$A27)+AA28</f>
        <v>3.2300289836500004E-2</v>
      </c>
      <c r="AB27" s="1">
        <f>AC27*H27/1000/2*一般構造素材物性!$M$7/1000</f>
        <v>1.4111811365003312E-4</v>
      </c>
      <c r="AC27" s="1">
        <f t="shared" si="1"/>
        <v>2.2834701645721334E-3</v>
      </c>
      <c r="AD27" s="1">
        <v>0</v>
      </c>
      <c r="AE27" s="1">
        <f t="shared" si="14"/>
        <v>0</v>
      </c>
      <c r="AF27" s="1">
        <f t="shared" si="17"/>
        <v>0</v>
      </c>
      <c r="AG27" s="1">
        <f t="shared" si="2"/>
        <v>0</v>
      </c>
      <c r="AH27" s="1">
        <f t="shared" si="15"/>
        <v>0</v>
      </c>
      <c r="AI27" s="68">
        <f>-2/空力安定性!$G$36*SIN(AD27)^2*C27*PI()*2*0.9</f>
        <v>0</v>
      </c>
      <c r="AJ27" s="1">
        <f t="shared" si="16"/>
        <v>0</v>
      </c>
      <c r="AK27" s="1">
        <f>-2/空力安定性!$G$36/空力安定性!$G$47*A27*C27*SIN(AD27)</f>
        <v>0</v>
      </c>
      <c r="AL27" s="1">
        <f>-4/空力安定性!$G$36/空力安定性!$G$47*A27*SIN(AD27)*COS(AD27)*C27*2*PI()*0.9</f>
        <v>0</v>
      </c>
      <c r="AM27" s="1">
        <f>-4/空力安定性!$G$36/空力安定性!$G$47^2*COS(AD27)*(A27*COS(AD27)+AF27*SIN(AD27))*C27*2*PI()*0.9</f>
        <v>-4.8395138924136711</v>
      </c>
      <c r="AN27" s="1">
        <f>-4/空力安定性!$G$36/空力安定性!$G$47^2*C27*COS(AD27)*A27^2</f>
        <v>-0.17116279069767443</v>
      </c>
      <c r="AO27" s="1">
        <f>4/空力安定性!$G$36/空力安定性!$G$47*2*A27*C27*SIN(AD27)*空力安定性!$G$33</f>
        <v>0</v>
      </c>
      <c r="AP27" s="1">
        <f>4/空力安定性!$G$36/空力安定性!$G$47^2*2*(A27*COS(AD27)+AF27*SIN(AD27))*C27*A27</f>
        <v>0.3423255813953488</v>
      </c>
      <c r="AQ27" s="1">
        <f>8/空力安定性!$G$36/空力安定性!$G$47^2*A27^2*C27*(-空力安定性!$G$32)</f>
        <v>-3.0785228277068737E-2</v>
      </c>
      <c r="AS27" s="1">
        <f>Z27*プロパティ!D$13</f>
        <v>0.12764709960000001</v>
      </c>
      <c r="AT27" s="1">
        <f>W27*プロパティ!$D$13</f>
        <v>1.0152108010680935E-2</v>
      </c>
      <c r="AU27" s="1">
        <f>AA27*プロパティ!D$13</f>
        <v>0.19380173901900002</v>
      </c>
      <c r="AV27" s="1">
        <f>SUM($AT28:AT$67)*(($A28+$A27)/2-$A27)+AV28</f>
        <v>2.311553603759239E-2</v>
      </c>
      <c r="AW27" s="1">
        <f t="shared" si="3"/>
        <v>1.3700820987432799E-2</v>
      </c>
      <c r="AX27" s="1">
        <f t="shared" si="18"/>
        <v>5.6253347559641204E-3</v>
      </c>
      <c r="AY27" s="1">
        <f t="shared" si="19"/>
        <v>0.322307939864999</v>
      </c>
      <c r="AZ27" s="1">
        <f t="shared" si="20"/>
        <v>6.3707816165000069E-4</v>
      </c>
    </row>
    <row r="28" spans="1:52">
      <c r="A28" s="1">
        <f>荷重解析!A24</f>
        <v>0.21</v>
      </c>
      <c r="C28" s="1">
        <f>荷重解析!I24</f>
        <v>0.23</v>
      </c>
      <c r="E28" s="1">
        <f t="shared" si="4"/>
        <v>5.2900000000000003E-2</v>
      </c>
      <c r="F28" s="1">
        <f>$C$7*荷重解析!$D$1-C28*(荷重解析!$D$1)</f>
        <v>0</v>
      </c>
      <c r="G28" s="1">
        <f t="shared" si="5"/>
        <v>0</v>
      </c>
      <c r="H28" s="1">
        <f t="shared" si="6"/>
        <v>13.7333</v>
      </c>
      <c r="I28" s="1">
        <f t="shared" si="7"/>
        <v>14.14526466675</v>
      </c>
      <c r="J28" s="1">
        <f t="shared" si="8"/>
        <v>4.8300000000000003E-2</v>
      </c>
      <c r="K28" s="1">
        <f t="shared" si="9"/>
        <v>1.0143000000000001E-2</v>
      </c>
      <c r="L28" s="1">
        <f>C28*0.01*一般構造素材物性!$H$22*2</f>
        <v>4.7840000000000001E-2</v>
      </c>
      <c r="M28" s="1">
        <f>一般構造素材物性!$H$34*0.01*主翼細分計算!H28/1000+一般構造素材物性!$H$20*0.005*0.01*2</f>
        <v>6.2725822222222213E-2</v>
      </c>
      <c r="N28" s="1">
        <f>一般構造素材物性!$H$19*0.01*0.015</f>
        <v>1.35E-2</v>
      </c>
      <c r="O28" s="1">
        <f t="shared" si="10"/>
        <v>1.35E-2</v>
      </c>
      <c r="P28" s="1">
        <f>IF(COUNTIF(Python読み込み用データ!$Q$4:$Q$13,主翼細分計算!A28*1000),1,0)</f>
        <v>0</v>
      </c>
      <c r="Q28" s="1">
        <f t="shared" si="11"/>
        <v>6.0666527599999988E-6</v>
      </c>
      <c r="R28" s="1">
        <f t="shared" si="12"/>
        <v>7.1284463960000004E-7</v>
      </c>
      <c r="T28" s="1">
        <f>荷重解析!E24*0.01</f>
        <v>2.1161046499999999E-2</v>
      </c>
      <c r="U28" s="1">
        <f>(荷重解析!F24+荷重解析!F25)/2*0.01</f>
        <v>1.05054315E-3</v>
      </c>
      <c r="V28" s="1">
        <f>(荷重解析!G24+荷重解析!G25)/2*0.5*1.293*(荷重解析!C24^2+荷重解析!$B$1^2)*((C29+C28)/2)*0.01*COS(RADIANS(荷重解析!D24))</f>
        <v>6.5939139313352861E-4</v>
      </c>
      <c r="W28" s="1">
        <f t="shared" si="13"/>
        <v>1.7099345431335286E-3</v>
      </c>
      <c r="X28" s="1">
        <f>(荷重解析!H24+荷重解析!H25)/2*0.5*1.293*(荷重解析!C24^2+荷重解析!$B$1^2)*((C29+C28)/2)^2*0.01</f>
        <v>-7.0287626680585536E-4</v>
      </c>
      <c r="Z28" s="1">
        <f>IF(A28=プロパティ!$D$3,T28-プロパティ!$D$8,T28)</f>
        <v>2.1161046499999999E-2</v>
      </c>
      <c r="AA28" s="1">
        <f>SUM(Z29:$Z$91)*(($A29+$A28)/2-$A28)+AA29</f>
        <v>2.9855010478500005E-2</v>
      </c>
      <c r="AB28" s="1">
        <f>AC28*H28/1000/2*一般構造素材物性!$M$7/1000</f>
        <v>1.3043482838866113E-4</v>
      </c>
      <c r="AC28" s="1">
        <f t="shared" si="1"/>
        <v>2.1106010514371984E-3</v>
      </c>
      <c r="AD28" s="1">
        <v>0</v>
      </c>
      <c r="AE28" s="1">
        <f t="shared" si="14"/>
        <v>0</v>
      </c>
      <c r="AF28" s="1">
        <f t="shared" si="17"/>
        <v>0</v>
      </c>
      <c r="AG28" s="1">
        <f t="shared" si="2"/>
        <v>0</v>
      </c>
      <c r="AH28" s="1">
        <f t="shared" si="15"/>
        <v>0</v>
      </c>
      <c r="AI28" s="68">
        <f>-2/空力安定性!$G$36*SIN(AD28)^2*C28*PI()*2*0.9</f>
        <v>0</v>
      </c>
      <c r="AJ28" s="1">
        <f t="shared" si="16"/>
        <v>0</v>
      </c>
      <c r="AK28" s="1">
        <f>-2/空力安定性!$G$36/空力安定性!$G$47*A28*C28*SIN(AD28)</f>
        <v>0</v>
      </c>
      <c r="AL28" s="1">
        <f>-4/空力安定性!$G$36/空力安定性!$G$47*A28*SIN(AD28)*COS(AD28)*C28*2*PI()*0.9</f>
        <v>0</v>
      </c>
      <c r="AM28" s="1">
        <f>-4/空力安定性!$G$36/空力安定性!$G$47^2*COS(AD28)*(A28*COS(AD28)+AF28*SIN(AD28))*C28*2*PI()*0.9</f>
        <v>-5.0814895870343557</v>
      </c>
      <c r="AN28" s="1">
        <f>-4/空力安定性!$G$36/空力安定性!$G$47^2*C28*COS(AD28)*A28^2</f>
        <v>-0.18870697674418599</v>
      </c>
      <c r="AO28" s="1">
        <f>4/空力安定性!$G$36/空力安定性!$G$47*2*A28*C28*SIN(AD28)*空力安定性!$G$33</f>
        <v>0</v>
      </c>
      <c r="AP28" s="1">
        <f>4/空力安定性!$G$36/空力安定性!$G$47^2*2*(A28*COS(AD28)+AF28*SIN(AD28))*C28*A28</f>
        <v>0.37741395348837203</v>
      </c>
      <c r="AQ28" s="1">
        <f>8/空力安定性!$G$36/空力安定性!$G$47^2*A28^2*C28*(-空力安定性!$G$32)</f>
        <v>-3.3940714175468262E-2</v>
      </c>
      <c r="AS28" s="1">
        <f>Z28*プロパティ!D$13</f>
        <v>0.12696627899999999</v>
      </c>
      <c r="AT28" s="1">
        <f>W28*プロパティ!$D$13</f>
        <v>1.0259607258801172E-2</v>
      </c>
      <c r="AU28" s="1">
        <f>AA28*プロパティ!D$13</f>
        <v>0.17913006287100003</v>
      </c>
      <c r="AV28" s="1">
        <f>SUM($AT29:AT$67)*(($A29+$A28)/2-$A28)+AV29</f>
        <v>2.1586521884714261E-2</v>
      </c>
      <c r="AW28" s="1">
        <f t="shared" si="3"/>
        <v>1.2663606308623192E-2</v>
      </c>
      <c r="AX28" s="1">
        <f t="shared" si="18"/>
        <v>5.7623429658384484E-3</v>
      </c>
      <c r="AY28" s="1">
        <f t="shared" si="19"/>
        <v>0.33015793204944061</v>
      </c>
      <c r="AZ28" s="1">
        <f t="shared" si="20"/>
        <v>6.9333150920964184E-4</v>
      </c>
    </row>
    <row r="29" spans="1:52">
      <c r="A29" s="1">
        <f>荷重解析!A25</f>
        <v>0.22</v>
      </c>
      <c r="C29" s="1">
        <f>荷重解析!I25</f>
        <v>0.23</v>
      </c>
      <c r="E29" s="1">
        <f t="shared" si="4"/>
        <v>5.2900000000000003E-2</v>
      </c>
      <c r="F29" s="1">
        <f>$C$7*荷重解析!$D$1-C29*(荷重解析!$D$1)</f>
        <v>0</v>
      </c>
      <c r="G29" s="1">
        <f t="shared" si="5"/>
        <v>0</v>
      </c>
      <c r="H29" s="1">
        <f t="shared" si="6"/>
        <v>13.7333</v>
      </c>
      <c r="I29" s="1">
        <f t="shared" si="7"/>
        <v>14.14526466675</v>
      </c>
      <c r="J29" s="1">
        <f t="shared" si="8"/>
        <v>5.0599999999999999E-2</v>
      </c>
      <c r="K29" s="1">
        <f t="shared" si="9"/>
        <v>1.1132E-2</v>
      </c>
      <c r="L29" s="1">
        <f>C29*0.01*一般構造素材物性!$H$22*2</f>
        <v>4.7840000000000001E-2</v>
      </c>
      <c r="M29" s="1">
        <f>一般構造素材物性!$H$34*0.01*主翼細分計算!H29/1000+一般構造素材物性!$H$20*0.005*0.01*2</f>
        <v>6.2725822222222213E-2</v>
      </c>
      <c r="N29" s="1">
        <f>一般構造素材物性!$H$19*0.01*0.015</f>
        <v>1.35E-2</v>
      </c>
      <c r="O29" s="1">
        <f t="shared" si="10"/>
        <v>1.35E-2</v>
      </c>
      <c r="P29" s="1">
        <f>IF(COUNTIF(Python読み込み用データ!$Q$4:$Q$13,主翼細分計算!A29*1000),1,0)</f>
        <v>0</v>
      </c>
      <c r="Q29" s="1">
        <f t="shared" si="11"/>
        <v>6.6581857955555557E-6</v>
      </c>
      <c r="R29" s="1">
        <f t="shared" si="12"/>
        <v>7.1284463960000004E-7</v>
      </c>
      <c r="T29" s="1">
        <f>荷重解析!E25*0.01</f>
        <v>2.1037046699999999E-2</v>
      </c>
      <c r="U29" s="1">
        <f>(荷重解析!F25+荷重解析!F26)/2*0.01</f>
        <v>1.0641469500000001E-3</v>
      </c>
      <c r="V29" s="1">
        <f>(荷重解析!G25+荷重解析!G26)/2*0.5*1.293*(荷重解析!C25^2+荷重解析!$B$1^2)*((C30+C29)/2)*0.01*COS(RADIANS(荷重解析!D25))</f>
        <v>6.6474862291803513E-4</v>
      </c>
      <c r="W29" s="1">
        <f t="shared" si="13"/>
        <v>1.7288955729180353E-3</v>
      </c>
      <c r="X29" s="1">
        <f>(荷重解析!H25+荷重解析!H26)/2*0.5*1.293*(荷重解析!C25^2+荷重解析!$B$1^2)*((C30+C29)/2)^2*0.01</f>
        <v>-7.0428543518816385E-4</v>
      </c>
      <c r="Z29" s="1">
        <f>IF(A29=プロパティ!$D$3,T29-プロパティ!$D$8,T29)</f>
        <v>2.1037046699999999E-2</v>
      </c>
      <c r="AA29" s="1">
        <f>SUM(Z30:$Z$91)*(($A30+$A29)/2-$A29)+AA30</f>
        <v>2.7515536353000001E-2</v>
      </c>
      <c r="AB29" s="1">
        <f>AC29*H29/1000/2*一般構造素材物性!$M$7/1000</f>
        <v>1.2021380011941778E-4</v>
      </c>
      <c r="AC29" s="1">
        <f t="shared" si="1"/>
        <v>1.9452118430613953E-3</v>
      </c>
      <c r="AD29" s="1">
        <v>0</v>
      </c>
      <c r="AE29" s="1">
        <f t="shared" si="14"/>
        <v>0</v>
      </c>
      <c r="AF29" s="1">
        <f t="shared" si="17"/>
        <v>0</v>
      </c>
      <c r="AG29" s="1">
        <f t="shared" si="2"/>
        <v>0</v>
      </c>
      <c r="AH29" s="1">
        <f t="shared" si="15"/>
        <v>0</v>
      </c>
      <c r="AI29" s="68">
        <f>-2/空力安定性!$G$36*SIN(AD29)^2*C29*PI()*2*0.9</f>
        <v>0</v>
      </c>
      <c r="AJ29" s="1">
        <f t="shared" si="16"/>
        <v>0</v>
      </c>
      <c r="AK29" s="1">
        <f>-2/空力安定性!$G$36/空力安定性!$G$47*A29*C29*SIN(AD29)</f>
        <v>0</v>
      </c>
      <c r="AL29" s="1">
        <f>-4/空力安定性!$G$36/空力安定性!$G$47*A29*SIN(AD29)*COS(AD29)*C29*2*PI()*0.9</f>
        <v>0</v>
      </c>
      <c r="AM29" s="1">
        <f>-4/空力安定性!$G$36/空力安定性!$G$47^2*COS(AD29)*(A29*COS(AD29)+AF29*SIN(AD29))*C29*2*PI()*0.9</f>
        <v>-5.3234652816550385</v>
      </c>
      <c r="AN29" s="1">
        <f>-4/空力安定性!$G$36/空力安定性!$G$47^2*C29*COS(AD29)*A29^2</f>
        <v>-0.20710697674418602</v>
      </c>
      <c r="AO29" s="1">
        <f>4/空力安定性!$G$36/空力安定性!$G$47*2*A29*C29*SIN(AD29)*空力安定性!$G$33</f>
        <v>0</v>
      </c>
      <c r="AP29" s="1">
        <f>4/空力安定性!$G$36/空力安定性!$G$47^2*2*(A29*COS(AD29)+AF29*SIN(AD29))*C29*A29</f>
        <v>0.41421395348837203</v>
      </c>
      <c r="AQ29" s="1">
        <f>8/空力安定性!$G$36/空力安定性!$G$47^2*A29^2*C29*(-空力安定性!$G$32)</f>
        <v>-3.7250126215253164E-2</v>
      </c>
      <c r="AS29" s="1">
        <f>Z29*プロパティ!D$13</f>
        <v>0.12622228019999998</v>
      </c>
      <c r="AT29" s="1">
        <f>W29*プロパティ!$D$13</f>
        <v>1.0373373437508212E-2</v>
      </c>
      <c r="AU29" s="1">
        <f>AA29*プロパティ!D$13</f>
        <v>0.16509321811800001</v>
      </c>
      <c r="AV29" s="1">
        <f>SUM($AT30:AT$67)*(($A30+$A29)/2-$A29)+AV30</f>
        <v>2.010880576813014E-2</v>
      </c>
      <c r="AW29" s="1">
        <f t="shared" si="3"/>
        <v>1.1671271058368371E-2</v>
      </c>
      <c r="AX29" s="1">
        <f t="shared" si="18"/>
        <v>5.8889790289246803E-3</v>
      </c>
      <c r="AY29" s="1">
        <f t="shared" si="19"/>
        <v>0.33741364399843415</v>
      </c>
      <c r="AZ29" s="1">
        <f t="shared" si="20"/>
        <v>7.5095493886802637E-4</v>
      </c>
    </row>
    <row r="30" spans="1:52">
      <c r="A30" s="1">
        <f>荷重解析!A26</f>
        <v>0.23</v>
      </c>
      <c r="C30" s="1">
        <f>荷重解析!I26</f>
        <v>0.23</v>
      </c>
      <c r="E30" s="1">
        <f t="shared" si="4"/>
        <v>5.2900000000000003E-2</v>
      </c>
      <c r="F30" s="1">
        <f>$C$7*荷重解析!$D$1-C30*(荷重解析!$D$1)</f>
        <v>0</v>
      </c>
      <c r="G30" s="1">
        <f t="shared" si="5"/>
        <v>0</v>
      </c>
      <c r="H30" s="1">
        <f t="shared" si="6"/>
        <v>13.7333</v>
      </c>
      <c r="I30" s="1">
        <f t="shared" si="7"/>
        <v>14.14526466675</v>
      </c>
      <c r="J30" s="1">
        <f t="shared" si="8"/>
        <v>5.2900000000000003E-2</v>
      </c>
      <c r="K30" s="1">
        <f t="shared" si="9"/>
        <v>1.2167000000000001E-2</v>
      </c>
      <c r="L30" s="1">
        <f>C30*0.01*一般構造素材物性!$H$22*2</f>
        <v>4.7840000000000001E-2</v>
      </c>
      <c r="M30" s="1">
        <f>一般構造素材物性!$H$34*0.01*主翼細分計算!H30/1000+一般構造素材物性!$H$20*0.005*0.01*2</f>
        <v>6.2725822222222213E-2</v>
      </c>
      <c r="N30" s="1">
        <f>一般構造素材物性!$H$19*0.01*0.015</f>
        <v>1.35E-2</v>
      </c>
      <c r="O30" s="1">
        <f t="shared" si="10"/>
        <v>1.35E-2</v>
      </c>
      <c r="P30" s="1">
        <f>IF(COUNTIF(Python読み込み用データ!$Q$4:$Q$13,主翼細分計算!A30*1000),1,0)</f>
        <v>0</v>
      </c>
      <c r="Q30" s="1">
        <f t="shared" si="11"/>
        <v>7.2772319955555559E-6</v>
      </c>
      <c r="R30" s="1">
        <f t="shared" si="12"/>
        <v>7.1284463960000004E-7</v>
      </c>
      <c r="T30" s="1">
        <f>荷重解析!E26*0.01</f>
        <v>2.0900947200000002E-2</v>
      </c>
      <c r="U30" s="1">
        <f>(荷重解析!F26+荷重解析!F27)/2*0.01</f>
        <v>1.0788334499999999E-3</v>
      </c>
      <c r="V30" s="1">
        <f>(荷重解析!G26+荷重解析!G27)/2*0.5*1.293*(荷重解析!C26^2+荷重解析!$B$1^2)*((C31+C30)/2)*0.01*COS(RADIANS(荷重解析!D26))</f>
        <v>6.7054302019004496E-4</v>
      </c>
      <c r="W30" s="1">
        <f t="shared" si="13"/>
        <v>1.7493764701900449E-3</v>
      </c>
      <c r="X30" s="1">
        <f>(荷重解析!H26+荷重解析!H27)/2*0.5*1.293*(荷重解析!C26^2+荷重解析!$B$1^2)*((C31+C30)/2)^2*0.01</f>
        <v>-7.0498204559395412E-4</v>
      </c>
      <c r="Z30" s="1">
        <f>IF(A30=プロパティ!$D$3,T30-プロパティ!$D$8,T30)</f>
        <v>2.0900947200000002E-2</v>
      </c>
      <c r="AA30" s="1">
        <f>SUM(Z31:$Z$91)*(($A31+$A30)/2-$A30)+AA31</f>
        <v>2.5281247460999998E-2</v>
      </c>
      <c r="AB30" s="1">
        <f>AC30*H30/1000/2*一般構造素材物性!$M$7/1000</f>
        <v>1.1045232010223326E-4</v>
      </c>
      <c r="AC30" s="1">
        <f t="shared" si="1"/>
        <v>1.7872587085928729E-3</v>
      </c>
      <c r="AD30" s="1">
        <v>0</v>
      </c>
      <c r="AE30" s="1">
        <f t="shared" si="14"/>
        <v>0</v>
      </c>
      <c r="AF30" s="1">
        <f t="shared" si="17"/>
        <v>0</v>
      </c>
      <c r="AG30" s="1">
        <f t="shared" si="2"/>
        <v>0</v>
      </c>
      <c r="AH30" s="1">
        <f t="shared" si="15"/>
        <v>0</v>
      </c>
      <c r="AI30" s="68">
        <f>-2/空力安定性!$G$36*SIN(AD30)^2*C30*PI()*2*0.9</f>
        <v>0</v>
      </c>
      <c r="AJ30" s="1">
        <f t="shared" si="16"/>
        <v>0</v>
      </c>
      <c r="AK30" s="1">
        <f>-2/空力安定性!$G$36/空力安定性!$G$47*A30*C30*SIN(AD30)</f>
        <v>0</v>
      </c>
      <c r="AL30" s="1">
        <f>-4/空力安定性!$G$36/空力安定性!$G$47*A30*SIN(AD30)*COS(AD30)*C30*2*PI()*0.9</f>
        <v>0</v>
      </c>
      <c r="AM30" s="1">
        <f>-4/空力安定性!$G$36/空力安定性!$G$47^2*COS(AD30)*(A30*COS(AD30)+AF30*SIN(AD30))*C30*2*PI()*0.9</f>
        <v>-5.5654409762757231</v>
      </c>
      <c r="AN30" s="1">
        <f>-4/空力安定性!$G$36/空力安定性!$G$47^2*C30*COS(AD30)*A30^2</f>
        <v>-0.2263627906976744</v>
      </c>
      <c r="AO30" s="1">
        <f>4/空力安定性!$G$36/空力安定性!$G$47*2*A30*C30*SIN(AD30)*空力安定性!$G$33</f>
        <v>0</v>
      </c>
      <c r="AP30" s="1">
        <f>4/空力安定性!$G$36/空力安定性!$G$47^2*2*(A30*COS(AD30)+AF30*SIN(AD30))*C30*A30</f>
        <v>0.45272558139534885</v>
      </c>
      <c r="AQ30" s="1">
        <f>8/空力安定性!$G$36/空力安定性!$G$47^2*A30^2*C30*(-空力安定性!$G$32)</f>
        <v>-4.0713464396423392E-2</v>
      </c>
      <c r="AS30" s="1">
        <f>Z30*プロパティ!D$13</f>
        <v>0.12540568320000001</v>
      </c>
      <c r="AT30" s="1">
        <f>W30*プロパティ!$D$13</f>
        <v>1.0496258821140268E-2</v>
      </c>
      <c r="AU30" s="1">
        <f>AA30*プロパティ!D$13</f>
        <v>0.151687484766</v>
      </c>
      <c r="AV30" s="1">
        <f>SUM($AT31:AT$67)*(($A31+$A30)/2-$A30)+AV31</f>
        <v>1.8682956518733557E-2</v>
      </c>
      <c r="AW30" s="1">
        <f t="shared" si="3"/>
        <v>1.0723552251557238E-2</v>
      </c>
      <c r="AX30" s="1">
        <f t="shared" si="18"/>
        <v>6.0056917395083639E-3</v>
      </c>
      <c r="AY30" s="1">
        <f t="shared" si="19"/>
        <v>0.34410078973041103</v>
      </c>
      <c r="AZ30" s="1">
        <f t="shared" si="20"/>
        <v>8.0984472915727318E-4</v>
      </c>
    </row>
    <row r="31" spans="1:52">
      <c r="A31" s="1">
        <f>荷重解析!A27</f>
        <v>0.24</v>
      </c>
      <c r="C31" s="1">
        <f>荷重解析!I27</f>
        <v>0.23</v>
      </c>
      <c r="E31" s="1">
        <f t="shared" si="4"/>
        <v>5.2900000000000003E-2</v>
      </c>
      <c r="F31" s="1">
        <f>$C$7*荷重解析!$D$1-C31*(荷重解析!$D$1)</f>
        <v>0</v>
      </c>
      <c r="G31" s="1">
        <f t="shared" si="5"/>
        <v>0</v>
      </c>
      <c r="H31" s="1">
        <f t="shared" si="6"/>
        <v>13.7333</v>
      </c>
      <c r="I31" s="1">
        <f t="shared" si="7"/>
        <v>14.14526466675</v>
      </c>
      <c r="J31" s="1">
        <f t="shared" si="8"/>
        <v>5.5199999999999999E-2</v>
      </c>
      <c r="K31" s="1">
        <f t="shared" si="9"/>
        <v>1.3247999999999999E-2</v>
      </c>
      <c r="L31" s="1">
        <f>C31*0.01*一般構造素材物性!$H$22*2</f>
        <v>4.7840000000000001E-2</v>
      </c>
      <c r="M31" s="1">
        <f>一般構造素材物性!$H$34*0.01*主翼細分計算!H31/1000+一般構造素材物性!$H$20*0.005*0.01*2</f>
        <v>6.2725822222222213E-2</v>
      </c>
      <c r="N31" s="1">
        <f>一般構造素材物性!$H$19*0.01*0.015</f>
        <v>1.35E-2</v>
      </c>
      <c r="O31" s="1">
        <f t="shared" si="10"/>
        <v>1.35E-2</v>
      </c>
      <c r="P31" s="1">
        <f>IF(COUNTIF(Python読み込み用データ!$Q$4:$Q$13,主翼細分計算!A31*1000),1,0)</f>
        <v>0</v>
      </c>
      <c r="Q31" s="1">
        <f t="shared" si="11"/>
        <v>7.9237913599999994E-6</v>
      </c>
      <c r="R31" s="1">
        <f t="shared" si="12"/>
        <v>7.1284463960000004E-7</v>
      </c>
      <c r="T31" s="1">
        <f>荷重解析!E27*0.01</f>
        <v>2.0750709399999998E-2</v>
      </c>
      <c r="U31" s="1">
        <f>(荷重解析!F27+荷重解析!F28)/2*0.01</f>
        <v>1.0942231999999999E-3</v>
      </c>
      <c r="V31" s="1">
        <f>(荷重解析!G27+荷重解析!G28)/2*0.5*1.293*(荷重解析!C27^2+荷重解析!$B$1^2)*((C32+C31)/2)*0.01*COS(RADIANS(荷重解析!D27))</f>
        <v>6.7685681143954228E-4</v>
      </c>
      <c r="W31" s="1">
        <f t="shared" si="13"/>
        <v>1.7710800114395422E-3</v>
      </c>
      <c r="X31" s="1">
        <f>(荷重解析!H27+荷重解析!H28)/2*0.5*1.293*(荷重解析!C27^2+荷重解析!$B$1^2)*((C32+C31)/2)^2*0.01</f>
        <v>-7.0473363310392544E-4</v>
      </c>
      <c r="Z31" s="1">
        <f>IF(A31=プロパティ!$D$3,T31-プロパティ!$D$8,T31)</f>
        <v>2.0750709399999998E-2</v>
      </c>
      <c r="AA31" s="1">
        <f>SUM(Z32:$Z$91)*(($A32+$A31)/2-$A31)+AA32</f>
        <v>2.3151463305000008E-2</v>
      </c>
      <c r="AB31" s="1">
        <f>AC31*H31/1000/2*一般構造素材物性!$M$7/1000</f>
        <v>1.011474152825614E-4</v>
      </c>
      <c r="AC31" s="1">
        <f t="shared" si="1"/>
        <v>1.6366935402361237E-3</v>
      </c>
      <c r="AD31" s="1">
        <v>0</v>
      </c>
      <c r="AE31" s="1">
        <f t="shared" si="14"/>
        <v>0</v>
      </c>
      <c r="AF31" s="1">
        <f t="shared" si="17"/>
        <v>0</v>
      </c>
      <c r="AG31" s="1">
        <f t="shared" si="2"/>
        <v>0</v>
      </c>
      <c r="AH31" s="1">
        <f t="shared" si="15"/>
        <v>0</v>
      </c>
      <c r="AI31" s="68">
        <f>-2/空力安定性!$G$36*SIN(AD31)^2*C31*PI()*2*0.9</f>
        <v>0</v>
      </c>
      <c r="AJ31" s="1">
        <f t="shared" si="16"/>
        <v>0</v>
      </c>
      <c r="AK31" s="1">
        <f>-2/空力安定性!$G$36/空力安定性!$G$47*A31*C31*SIN(AD31)</f>
        <v>0</v>
      </c>
      <c r="AL31" s="1">
        <f>-4/空力安定性!$G$36/空力安定性!$G$47*A31*SIN(AD31)*COS(AD31)*C31*2*PI()*0.9</f>
        <v>0</v>
      </c>
      <c r="AM31" s="1">
        <f>-4/空力安定性!$G$36/空力安定性!$G$47^2*COS(AD31)*(A31*COS(AD31)+AF31*SIN(AD31))*C31*2*PI()*0.9</f>
        <v>-5.807416670896405</v>
      </c>
      <c r="AN31" s="1">
        <f>-4/空力安定性!$G$36/空力安定性!$G$47^2*C31*COS(AD31)*A31^2</f>
        <v>-0.24647441860465114</v>
      </c>
      <c r="AO31" s="1">
        <f>4/空力安定性!$G$36/空力安定性!$G$47*2*A31*C31*SIN(AD31)*空力安定性!$G$33</f>
        <v>0</v>
      </c>
      <c r="AP31" s="1">
        <f>4/空力安定性!$G$36/空力安定性!$G$47^2*2*(A31*COS(AD31)+AF31*SIN(AD31))*C31*A31</f>
        <v>0.49294883720930216</v>
      </c>
      <c r="AQ31" s="1">
        <f>8/空力安定性!$G$36/空力安定性!$G$47^2*A31^2*C31*(-空力安定性!$G$32)</f>
        <v>-4.4330728718978966E-2</v>
      </c>
      <c r="AS31" s="1">
        <f>Z31*プロパティ!D$13</f>
        <v>0.12450425639999999</v>
      </c>
      <c r="AT31" s="1">
        <f>W31*プロパティ!$D$13</f>
        <v>1.0626480068637253E-2</v>
      </c>
      <c r="AU31" s="1">
        <f>AA31*プロパティ!D$13</f>
        <v>0.13890877983000005</v>
      </c>
      <c r="AV31" s="1">
        <f>SUM($AT32:AT$67)*(($A32+$A31)/2-$A31)+AV32</f>
        <v>1.7309588563442686E-2</v>
      </c>
      <c r="AW31" s="1">
        <f t="shared" si="3"/>
        <v>9.8201612414167416E-3</v>
      </c>
      <c r="AX31" s="1">
        <f t="shared" si="18"/>
        <v>6.1129272620239362E-3</v>
      </c>
      <c r="AY31" s="1">
        <f t="shared" si="19"/>
        <v>0.35024493258443345</v>
      </c>
      <c r="AZ31" s="1">
        <f t="shared" si="20"/>
        <v>8.6990164655235686E-4</v>
      </c>
    </row>
    <row r="32" spans="1:52">
      <c r="A32" s="1">
        <f>荷重解析!A28</f>
        <v>0.25</v>
      </c>
      <c r="C32" s="1">
        <f>荷重解析!I28</f>
        <v>0.22992018</v>
      </c>
      <c r="E32" s="1">
        <f t="shared" si="4"/>
        <v>5.2863289171232404E-2</v>
      </c>
      <c r="F32" s="1">
        <f>$C$7*荷重解析!$D$1-C32*(荷重解析!$D$1)</f>
        <v>3.1239697472137951E-5</v>
      </c>
      <c r="G32" s="1">
        <f t="shared" si="5"/>
        <v>7.1826368659395025E-6</v>
      </c>
      <c r="H32" s="1">
        <f t="shared" si="6"/>
        <v>13.728533947799999</v>
      </c>
      <c r="I32" s="1">
        <f t="shared" si="7"/>
        <v>14.135448326692281</v>
      </c>
      <c r="J32" s="1">
        <f t="shared" si="8"/>
        <v>5.7480045E-2</v>
      </c>
      <c r="K32" s="1">
        <f t="shared" si="9"/>
        <v>1.437001125E-2</v>
      </c>
      <c r="L32" s="1">
        <f>C32*0.01*一般構造素材物性!$H$22*2</f>
        <v>4.7823397440000005E-2</v>
      </c>
      <c r="M32" s="1">
        <f>一般構造素材物性!$H$34*0.01*主翼細分計算!H32/1000+一般構造素材物性!$H$20*0.005*0.01*2</f>
        <v>6.2710994504266662E-2</v>
      </c>
      <c r="N32" s="1">
        <f>一般構造素材物性!$H$19*0.01*0.015</f>
        <v>1.35E-2</v>
      </c>
      <c r="O32" s="1">
        <f t="shared" si="10"/>
        <v>1.35E-2</v>
      </c>
      <c r="P32" s="1">
        <f>IF(COUNTIF(Python読み込み用データ!$Q$4:$Q$13,主翼細分計算!A32*1000),1,0)</f>
        <v>1</v>
      </c>
      <c r="Q32" s="1">
        <f t="shared" si="11"/>
        <v>7.1095899496516669E-5</v>
      </c>
      <c r="R32" s="1">
        <f t="shared" si="12"/>
        <v>7.1227940351326488E-7</v>
      </c>
      <c r="T32" s="1">
        <f>荷重解析!E28*0.01</f>
        <v>2.0582232799999999E-2</v>
      </c>
      <c r="U32" s="1">
        <f>(荷重解析!F28+荷重解析!F29)/2*0.01</f>
        <v>1.0940271000000001E-3</v>
      </c>
      <c r="V32" s="1">
        <f>(荷重解析!G28+荷重解析!G29)/2*0.5*1.293*(荷重解析!C28^2+荷重解析!$B$1^2)*((C33+C32)/2)*0.01*COS(RADIANS(荷重解析!D28))</f>
        <v>6.79022736624972E-4</v>
      </c>
      <c r="W32" s="1">
        <f t="shared" si="13"/>
        <v>1.7730498366249721E-3</v>
      </c>
      <c r="X32" s="1">
        <f>(荷重解析!H28+荷重解析!H29)/2*0.5*1.293*(荷重解析!C28^2+荷重解析!$B$1^2)*((C33+C32)/2)^2*0.01</f>
        <v>-6.9773507283098484E-4</v>
      </c>
      <c r="Z32" s="1">
        <f>IF(A32=プロパティ!$D$3,T32-プロパティ!$D$8,T32)</f>
        <v>2.0582232799999999E-2</v>
      </c>
      <c r="AA32" s="1">
        <f>SUM(Z33:$Z$91)*(($A33+$A32)/2-$A32)+AA33</f>
        <v>2.1125432696000007E-2</v>
      </c>
      <c r="AB32" s="1">
        <f>AC32*H32/1000/2*一般構造素材物性!$M$7/1000</f>
        <v>9.232784553540192E-5</v>
      </c>
      <c r="AC32" s="1">
        <f t="shared" si="1"/>
        <v>1.4945003658715502E-3</v>
      </c>
      <c r="AD32" s="1">
        <f>RADIANS(20)</f>
        <v>0.3490658503988659</v>
      </c>
      <c r="AE32" s="1">
        <f t="shared" si="14"/>
        <v>20</v>
      </c>
      <c r="AF32" s="1">
        <f t="shared" si="17"/>
        <v>0</v>
      </c>
      <c r="AG32" s="1">
        <f t="shared" si="2"/>
        <v>0</v>
      </c>
      <c r="AH32" s="1">
        <f t="shared" si="15"/>
        <v>0</v>
      </c>
      <c r="AI32" s="68">
        <f>-2/空力安定性!$G$36*SIN(AD32)^2*C32*PI()*2*0.9</f>
        <v>-1.4147977928630462</v>
      </c>
      <c r="AJ32" s="1">
        <f t="shared" si="16"/>
        <v>-0.10446648407898421</v>
      </c>
      <c r="AK32" s="1">
        <f>-2/空力安定性!$G$36/空力安定性!$G$47*A32*C32*SIN(AD32)</f>
        <v>-0.18287751841177569</v>
      </c>
      <c r="AL32" s="1">
        <f>-4/空力安定性!$G$36/空力安定性!$G$47*A32*SIN(AD32)*COS(AD32)*C32*2*PI()*0.9</f>
        <v>-1.9435624944927288</v>
      </c>
      <c r="AM32" s="1">
        <f>-4/空力安定性!$G$36/空力安定性!$G$47^2*COS(AD32)*(A32*COS(AD32)+AF32*SIN(AD32))*C32*2*PI()*0.9</f>
        <v>-5.3398940669176724</v>
      </c>
      <c r="AN32" s="1">
        <f>-4/空力安定性!$G$36/空力安定性!$G$47^2*C32*COS(AD32)*A32^2</f>
        <v>-0.25122592618112533</v>
      </c>
      <c r="AO32" s="1">
        <f>4/空力安定性!$G$36/空力安定性!$G$47*2*A32*C32*SIN(AD32)*空力安定性!$G$33</f>
        <v>0.5318673847944051</v>
      </c>
      <c r="AP32" s="1">
        <f>4/空力安定性!$G$36/空力安定性!$G$47^2*2*(A32*COS(AD32)+AF32*SIN(AD32))*C32*A32</f>
        <v>0.50245185236225065</v>
      </c>
      <c r="AQ32" s="1">
        <f>8/空力安定性!$G$36/空力安定性!$G$47^2*A32^2*C32*(-空力安定性!$G$32)</f>
        <v>-4.8085225725575623E-2</v>
      </c>
      <c r="AS32" s="1">
        <f>Z32*プロパティ!D$13</f>
        <v>0.12349339679999999</v>
      </c>
      <c r="AT32" s="1">
        <f>W32*プロパティ!$D$13</f>
        <v>1.0638299019749832E-2</v>
      </c>
      <c r="AU32" s="1">
        <f>AA32*プロパティ!D$13</f>
        <v>0.12675259617600004</v>
      </c>
      <c r="AV32" s="1">
        <f>SUM($AT33:AT$67)*(($A33+$A32)/2-$A32)+AV33</f>
        <v>1.5989353008494991E-2</v>
      </c>
      <c r="AW32" s="1">
        <f t="shared" si="3"/>
        <v>8.9670021952293014E-3</v>
      </c>
      <c r="AX32" s="1">
        <f t="shared" si="18"/>
        <v>6.2111288744381033E-3</v>
      </c>
      <c r="AY32" s="1">
        <f t="shared" si="19"/>
        <v>0.35587147051714474</v>
      </c>
      <c r="AZ32" s="1">
        <f t="shared" si="20"/>
        <v>9.3103091917259623E-4</v>
      </c>
    </row>
    <row r="33" spans="1:52">
      <c r="A33" s="1">
        <f>荷重解析!A29</f>
        <v>0.26</v>
      </c>
      <c r="C33" s="1">
        <f>荷重解析!I29</f>
        <v>0.2276</v>
      </c>
      <c r="E33" s="1">
        <f t="shared" si="4"/>
        <v>5.1801759999999995E-2</v>
      </c>
      <c r="F33" s="1">
        <f>$C$7*荷重解析!$D$1-C33*(荷重解析!$D$1)</f>
        <v>9.3930435897179865E-4</v>
      </c>
      <c r="G33" s="1">
        <f t="shared" si="5"/>
        <v>2.1378567210198136E-4</v>
      </c>
      <c r="H33" s="1">
        <f t="shared" si="6"/>
        <v>13.589995999999999</v>
      </c>
      <c r="I33" s="1">
        <f t="shared" si="7"/>
        <v>13.851599346001203</v>
      </c>
      <c r="J33" s="1">
        <f t="shared" si="8"/>
        <v>5.9175999999999999E-2</v>
      </c>
      <c r="K33" s="1">
        <f t="shared" si="9"/>
        <v>1.538576E-2</v>
      </c>
      <c r="L33" s="1">
        <f>C33*0.01*一般構造素材物性!$H$22*2</f>
        <v>4.7340799999999995E-2</v>
      </c>
      <c r="M33" s="1">
        <f>一般構造素材物性!$H$34*0.01*主翼細分計算!H33/1000+一般構造素材物性!$H$20*0.005*0.01*2</f>
        <v>6.2279987555555555E-2</v>
      </c>
      <c r="N33" s="1">
        <f>一般構造素材物性!$H$19*0.01*0.015</f>
        <v>1.35E-2</v>
      </c>
      <c r="O33" s="1">
        <f t="shared" si="10"/>
        <v>1.35E-2</v>
      </c>
      <c r="P33" s="1">
        <f>IF(COUNTIF(Python読み込み用データ!$Q$4:$Q$13,主翼細分計算!A33*1000),1,0)</f>
        <v>0</v>
      </c>
      <c r="Q33" s="1">
        <f t="shared" si="11"/>
        <v>9.2355652387555564E-6</v>
      </c>
      <c r="R33" s="1">
        <f t="shared" si="12"/>
        <v>6.9596694793402868E-7</v>
      </c>
      <c r="T33" s="1">
        <f>荷重解析!E29*0.01</f>
        <v>2.0388248899999999E-2</v>
      </c>
      <c r="U33" s="1">
        <f>(荷重解析!F29+荷重解析!F30)/2*0.01</f>
        <v>1.0769468000000001E-3</v>
      </c>
      <c r="V33" s="1">
        <f>(荷重解析!G29+荷重解析!G30)/2*0.5*1.293*(荷重解析!C29^2+荷重解析!$B$1^2)*((C34+C33)/2)*0.01*COS(RADIANS(荷重解析!D29))</f>
        <v>6.7651667104193854E-4</v>
      </c>
      <c r="W33" s="1">
        <f t="shared" si="13"/>
        <v>1.7534634710419388E-3</v>
      </c>
      <c r="X33" s="1">
        <f>(荷重解析!H29+荷重解析!H30)/2*0.5*1.293*(荷重解析!C29^2+荷重解析!$B$1^2)*((C34+C33)/2)^2*0.01</f>
        <v>-6.8401058069853958E-4</v>
      </c>
      <c r="Z33" s="1">
        <f>IF(A33=プロパティ!$D$3,T33-プロパティ!$D$8,T33)</f>
        <v>2.0388248899999999E-2</v>
      </c>
      <c r="AA33" s="1">
        <f>SUM(Z34:$Z$91)*(($A34+$A33)/2-$A33)+AA34</f>
        <v>1.9202313251000004E-2</v>
      </c>
      <c r="AB33" s="1">
        <f>AC33*H33/1000/2*一般構造素材物性!$M$7/1000</f>
        <v>8.4778449902413508E-5</v>
      </c>
      <c r="AC33" s="1">
        <f t="shared" si="1"/>
        <v>1.3862885267861499E-3</v>
      </c>
      <c r="AD33" s="1">
        <f t="shared" ref="AD33:AD57" si="21">RADIANS(20)</f>
        <v>0.3490658503988659</v>
      </c>
      <c r="AE33" s="1">
        <f t="shared" si="14"/>
        <v>20</v>
      </c>
      <c r="AF33" s="1">
        <f t="shared" si="17"/>
        <v>3.4906585039886592E-3</v>
      </c>
      <c r="AG33" s="1">
        <f t="shared" si="2"/>
        <v>3.4906585039886591</v>
      </c>
      <c r="AH33" s="1">
        <f t="shared" si="15"/>
        <v>3.4906585039886591</v>
      </c>
      <c r="AI33" s="68">
        <f>-2/空力安定性!$G$36*SIN(AD33)^2*C33*PI()*2*0.9</f>
        <v>-1.4005207270437476</v>
      </c>
      <c r="AJ33" s="1">
        <f t="shared" si="16"/>
        <v>-0.10807431859669356</v>
      </c>
      <c r="AK33" s="1">
        <f>-2/空力安定性!$G$36/空力安定性!$G$47*A33*C33*SIN(AD33)</f>
        <v>-0.18827333954827691</v>
      </c>
      <c r="AL33" s="1">
        <f>-4/空力安定性!$G$36/空力安定性!$G$47*A33*SIN(AD33)*COS(AD33)*C33*2*PI()*0.9</f>
        <v>-2.0009075179760512</v>
      </c>
      <c r="AM33" s="1">
        <f>-4/空力安定性!$G$36/空力安定性!$G$47^2*COS(AD33)*(A33*COS(AD33)+AF33*SIN(AD33))*C33*2*PI()*0.9</f>
        <v>-5.5243116272997259</v>
      </c>
      <c r="AN33" s="1">
        <f>-4/空力安定性!$G$36/空力安定性!$G$47^2*C33*COS(AD33)*A33^2</f>
        <v>-0.26898390952898599</v>
      </c>
      <c r="AO33" s="1">
        <f>4/空力安定性!$G$36/空力安定性!$G$47*2*A33*C33*SIN(AD33)*空力安定性!$G$33</f>
        <v>0.54756019002061873</v>
      </c>
      <c r="AP33" s="1">
        <f>4/空力安定性!$G$36/空力安定性!$G$47^2*2*(A33*COS(AD33)+AF33*SIN(AD33))*C33*A33</f>
        <v>0.54059661079304611</v>
      </c>
      <c r="AQ33" s="1">
        <f>8/空力安定性!$G$36/空力安定性!$G$47^2*A33^2*C33*(-空力安定性!$G$32)</f>
        <v>-5.148414498002097E-2</v>
      </c>
      <c r="AS33" s="1">
        <f>Z33*プロパティ!D$13</f>
        <v>0.12232949339999999</v>
      </c>
      <c r="AT33" s="1">
        <f>W33*プロパティ!$D$13</f>
        <v>1.0520780826251633E-2</v>
      </c>
      <c r="AU33" s="1">
        <f>AA33*プロパティ!D$13</f>
        <v>0.11521387950600002</v>
      </c>
      <c r="AV33" s="1">
        <f>SUM($AT34:AT$67)*(($A34+$A33)/2-$A33)+AV34</f>
        <v>1.4722308948646047E-2</v>
      </c>
      <c r="AW33" s="1">
        <f t="shared" si="3"/>
        <v>8.3177311607168982E-3</v>
      </c>
      <c r="AX33" s="1">
        <f t="shared" si="18"/>
        <v>6.3007988963903966E-3</v>
      </c>
      <c r="AY33" s="1">
        <f t="shared" si="19"/>
        <v>0.36100918432385659</v>
      </c>
      <c r="AZ33" s="1">
        <f t="shared" si="20"/>
        <v>9.9314220791697728E-4</v>
      </c>
    </row>
    <row r="34" spans="1:52">
      <c r="A34" s="1">
        <f>荷重解析!A30</f>
        <v>0.27</v>
      </c>
      <c r="C34" s="1">
        <f>荷重解析!I30</f>
        <v>0.22520000000000001</v>
      </c>
      <c r="E34" s="1">
        <f t="shared" si="4"/>
        <v>5.0715040000000003E-2</v>
      </c>
      <c r="F34" s="1">
        <f>$C$7*荷重解析!$D$1-C34*(荷重解析!$D$1)</f>
        <v>1.8786087179435973E-3</v>
      </c>
      <c r="G34" s="1">
        <f t="shared" si="5"/>
        <v>4.2306268328089815E-4</v>
      </c>
      <c r="H34" s="1">
        <f t="shared" si="6"/>
        <v>13.446692000000001</v>
      </c>
      <c r="I34" s="1">
        <f t="shared" si="7"/>
        <v>13.561014430714801</v>
      </c>
      <c r="J34" s="1">
        <f t="shared" si="8"/>
        <v>6.0804000000000004E-2</v>
      </c>
      <c r="K34" s="1">
        <f t="shared" si="9"/>
        <v>1.6417080000000001E-2</v>
      </c>
      <c r="L34" s="1">
        <f>C34*0.01*一般構造素材物性!$H$22*2</f>
        <v>4.6841600000000004E-2</v>
      </c>
      <c r="M34" s="1">
        <f>一般構造素材物性!$H$34*0.01*主翼細分計算!H34/1000+一般構造素材物性!$H$20*0.005*0.01*2</f>
        <v>6.1834152888888883E-2</v>
      </c>
      <c r="N34" s="1">
        <f>一般構造素材物性!$H$19*0.01*0.015</f>
        <v>1.35E-2</v>
      </c>
      <c r="O34" s="1">
        <f t="shared" si="10"/>
        <v>1.35E-2</v>
      </c>
      <c r="P34" s="1">
        <f>IF(COUNTIF(Python読み込み用データ!$Q$4:$Q$13,主翼細分計算!A34*1000),1,0)</f>
        <v>0</v>
      </c>
      <c r="Q34" s="1">
        <f t="shared" si="11"/>
        <v>9.8907623856000005E-6</v>
      </c>
      <c r="R34" s="1">
        <f t="shared" si="12"/>
        <v>6.7933170154135031E-7</v>
      </c>
      <c r="T34" s="1">
        <f>荷重解析!E30*0.01</f>
        <v>2.0174295400000004E-2</v>
      </c>
      <c r="U34" s="1">
        <f>(荷重解析!F30+荷重解析!F31)/2*0.01</f>
        <v>1.05944105E-3</v>
      </c>
      <c r="V34" s="1">
        <f>(荷重解析!G30+荷重解析!G31)/2*0.5*1.293*(荷重解析!C30^2+荷重解析!$B$1^2)*((C35+C34)/2)*0.01*COS(RADIANS(荷重解析!D30))</f>
        <v>6.7404211596309169E-4</v>
      </c>
      <c r="W34" s="1">
        <f t="shared" si="13"/>
        <v>1.7334831659630916E-3</v>
      </c>
      <c r="X34" s="1">
        <f>(荷重解析!H30+荷重解析!H31)/2*0.5*1.293*(荷重解析!C30^2+荷重解析!$B$1^2)*((C35+C34)/2)^2*0.01</f>
        <v>-6.7013490491319209E-4</v>
      </c>
      <c r="Z34" s="1">
        <f>IF(A34=プロパティ!$D$3,T34-プロパティ!$D$8,T34)</f>
        <v>2.0174295400000004E-2</v>
      </c>
      <c r="AA34" s="1">
        <f>SUM(Z35:$Z$91)*(($A35+$A34)/2-$A34)+AA35</f>
        <v>1.7381135050500002E-2</v>
      </c>
      <c r="AB34" s="1">
        <f>AC34*H34/1000/2*一般構造素材物性!$M$7/1000</f>
        <v>7.7555736610164058E-5</v>
      </c>
      <c r="AC34" s="1">
        <f t="shared" si="1"/>
        <v>1.2816987356884513E-3</v>
      </c>
      <c r="AD34" s="1">
        <f t="shared" si="21"/>
        <v>0.3490658503988659</v>
      </c>
      <c r="AE34" s="1">
        <f t="shared" si="14"/>
        <v>20</v>
      </c>
      <c r="AF34" s="1">
        <f t="shared" si="17"/>
        <v>6.9813170079773184E-3</v>
      </c>
      <c r="AG34" s="1">
        <f t="shared" si="2"/>
        <v>6.9813170079773181</v>
      </c>
      <c r="AH34" s="1">
        <f t="shared" si="15"/>
        <v>6.9813170079773181</v>
      </c>
      <c r="AI34" s="68">
        <f>-2/空力安定性!$G$36*SIN(AD34)^2*C34*PI()*2*0.9</f>
        <v>-1.3857524944211423</v>
      </c>
      <c r="AJ34" s="1">
        <f t="shared" si="16"/>
        <v>-0.11154756560281065</v>
      </c>
      <c r="AK34" s="1">
        <f>-2/空力安定性!$G$36/空力安定性!$G$47*A34*C34*SIN(AD34)</f>
        <v>-0.19345295623045547</v>
      </c>
      <c r="AL34" s="1">
        <f>-4/空力安定性!$G$36/空力安定性!$G$47*A34*SIN(AD34)*COS(AD34)*C34*2*PI()*0.9</f>
        <v>-2.0559547911825042</v>
      </c>
      <c r="AM34" s="1">
        <f>-4/空力安定性!$G$36/空力安定性!$G$47^2*COS(AD34)*(A34*COS(AD34)+AF34*SIN(AD34))*C34*2*PI()*0.9</f>
        <v>-5.7018496314205649</v>
      </c>
      <c r="AN34" s="1">
        <f>-4/空力安定性!$G$36/空力安定性!$G$47^2*C34*COS(AD34)*A34^2</f>
        <v>-0.28701411964375667</v>
      </c>
      <c r="AO34" s="1">
        <f>4/空力安定性!$G$36/空力安定性!$G$47*2*A34*C34*SIN(AD34)*空力安定性!$G$33</f>
        <v>0.56262420227818222</v>
      </c>
      <c r="AP34" s="1">
        <f>4/空力安定性!$G$36/空力安定性!$G$47^2*2*(A34*COS(AD34)+AF34*SIN(AD34))*C34*A34</f>
        <v>0.57943046494181405</v>
      </c>
      <c r="AQ34" s="1">
        <f>8/空力安定性!$G$36/空力安定性!$G$47^2*A34^2*C34*(-空力安定性!$G$32)</f>
        <v>-5.4935169069880385E-2</v>
      </c>
      <c r="AS34" s="1">
        <f>Z34*プロパティ!D$13</f>
        <v>0.12104577240000003</v>
      </c>
      <c r="AT34" s="1">
        <f>W34*プロパティ!$D$13</f>
        <v>1.040089899577855E-2</v>
      </c>
      <c r="AU34" s="1">
        <f>AA34*プロパティ!D$13</f>
        <v>0.10428681030300002</v>
      </c>
      <c r="AV34" s="1">
        <f>SUM($AT35:AT$67)*(($A35+$A34)/2-$A34)+AV35</f>
        <v>1.3507868792928361E-2</v>
      </c>
      <c r="AW34" s="1">
        <f t="shared" si="3"/>
        <v>7.6901924141307082E-3</v>
      </c>
      <c r="AX34" s="1">
        <f t="shared" si="18"/>
        <v>6.3839762079975658E-3</v>
      </c>
      <c r="AY34" s="1">
        <f t="shared" si="19"/>
        <v>0.36577489323019191</v>
      </c>
      <c r="AZ34" s="1">
        <f t="shared" si="20"/>
        <v>1.0561501968808812E-3</v>
      </c>
    </row>
    <row r="35" spans="1:52">
      <c r="A35" s="1">
        <f>荷重解析!A31</f>
        <v>0.28000000000000003</v>
      </c>
      <c r="C35" s="1">
        <f>荷重解析!I31</f>
        <v>0.2228</v>
      </c>
      <c r="E35" s="1">
        <f t="shared" si="4"/>
        <v>4.9639839999999998E-2</v>
      </c>
      <c r="F35" s="1">
        <f>$C$7*荷重解析!$D$1-C35*(荷重解析!$D$1)</f>
        <v>2.8179130769153959E-3</v>
      </c>
      <c r="G35" s="1">
        <f t="shared" si="5"/>
        <v>6.2783103353675023E-4</v>
      </c>
      <c r="H35" s="1">
        <f t="shared" si="6"/>
        <v>13.303388</v>
      </c>
      <c r="I35" s="1">
        <f t="shared" si="7"/>
        <v>13.273509920890799</v>
      </c>
      <c r="J35" s="1">
        <f t="shared" si="8"/>
        <v>6.2384000000000002E-2</v>
      </c>
      <c r="K35" s="1">
        <f t="shared" si="9"/>
        <v>1.7467520000000004E-2</v>
      </c>
      <c r="L35" s="1">
        <f>C35*0.01*一般構造素材物性!$H$22*2</f>
        <v>4.6342399999999999E-2</v>
      </c>
      <c r="M35" s="1">
        <f>一般構造素材物性!$H$34*0.01*主翼細分計算!H35/1000+一般構造素材物性!$H$20*0.005*0.01*2</f>
        <v>6.1388318222222224E-2</v>
      </c>
      <c r="N35" s="1">
        <f>一般構造素材物性!$H$19*0.01*0.015</f>
        <v>1.35E-2</v>
      </c>
      <c r="O35" s="1">
        <f t="shared" si="10"/>
        <v>1.35E-2</v>
      </c>
      <c r="P35" s="1">
        <f>IF(COUNTIF(Python読み込み用データ!$Q$4:$Q$13,主翼細分計算!A35*1000),1,0)</f>
        <v>0</v>
      </c>
      <c r="Q35" s="1">
        <f t="shared" si="11"/>
        <v>1.0562888308622223E-5</v>
      </c>
      <c r="R35" s="1">
        <f t="shared" si="12"/>
        <v>6.6293751369781746E-7</v>
      </c>
      <c r="T35" s="1">
        <f>荷重解析!E31*0.01</f>
        <v>1.99443108E-2</v>
      </c>
      <c r="U35" s="1">
        <f>(荷重解析!F31+荷重解析!F32)/2*0.01</f>
        <v>1.04385875E-3</v>
      </c>
      <c r="V35" s="1">
        <f>(荷重解析!G31+荷重解析!G32)/2*0.5*1.293*(荷重解析!C31^2+荷重解析!$B$1^2)*((C36+C35)/2)*0.01*COS(RADIANS(荷重解析!D31))</f>
        <v>6.7302653557983359E-4</v>
      </c>
      <c r="W35" s="1">
        <f t="shared" si="13"/>
        <v>1.7168852855798337E-3</v>
      </c>
      <c r="X35" s="1">
        <f>(荷重解析!H31+荷重解析!H32)/2*0.5*1.293*(荷重解析!C31^2+荷重解析!$B$1^2)*((C36+C35)/2)^2*0.01</f>
        <v>-6.5545431411948593E-4</v>
      </c>
      <c r="Z35" s="1">
        <f>IF(A35=プロパティ!$D$3,T35-プロパティ!$D$8,T35)</f>
        <v>1.99443108E-2</v>
      </c>
      <c r="AA35" s="1">
        <f>SUM(Z36:$Z$91)*(($A36+$A35)/2-$A35)+AA36</f>
        <v>1.5660828327000002E-2</v>
      </c>
      <c r="AB35" s="1">
        <f>AC35*H35/1000/2*一般構造素材物性!$M$7/1000</f>
        <v>7.0632360690374524E-5</v>
      </c>
      <c r="AC35" s="1">
        <f t="shared" si="1"/>
        <v>1.1798558497592164E-3</v>
      </c>
      <c r="AD35" s="1">
        <f t="shared" si="21"/>
        <v>0.3490658503988659</v>
      </c>
      <c r="AE35" s="1">
        <f t="shared" si="14"/>
        <v>20</v>
      </c>
      <c r="AF35" s="1">
        <f t="shared" si="17"/>
        <v>1.0471975511965978E-2</v>
      </c>
      <c r="AG35" s="1">
        <f t="shared" si="2"/>
        <v>10.471975511965978</v>
      </c>
      <c r="AH35" s="1">
        <f t="shared" si="15"/>
        <v>10.471975511965978</v>
      </c>
      <c r="AI35" s="68">
        <f>-2/空力安定性!$G$36*SIN(AD35)^2*C35*PI()*2*0.9</f>
        <v>-1.3709842617985368</v>
      </c>
      <c r="AJ35" s="1">
        <f t="shared" si="16"/>
        <v>-0.11492249209555712</v>
      </c>
      <c r="AK35" s="1">
        <f>-2/空力安定性!$G$36/空力安定性!$G$47*A35*C35*SIN(AD35)</f>
        <v>-0.19847985694166059</v>
      </c>
      <c r="AL35" s="1">
        <f>-4/空力安定性!$G$36/空力安定性!$G$47*A35*SIN(AD35)*COS(AD35)*C35*2*PI()*0.9</f>
        <v>-2.1093790489627215</v>
      </c>
      <c r="AM35" s="1">
        <f>-4/空力安定性!$G$36/空力安定性!$G$47^2*COS(AD35)*(A35*COS(AD35)+AF35*SIN(AD35))*C35*2*PI()*0.9</f>
        <v>-5.8743618980464278</v>
      </c>
      <c r="AN35" s="1">
        <f>-4/空力安定性!$G$36/空力安定性!$G$47^2*C35*COS(AD35)*A35^2</f>
        <v>-0.30537859809172602</v>
      </c>
      <c r="AO35" s="1">
        <f>4/空力安定性!$G$36/空力安定性!$G$47*2*A35*C35*SIN(AD35)*空力安定性!$G$33</f>
        <v>0.57724406675419559</v>
      </c>
      <c r="AP35" s="1">
        <f>4/空力安定性!$G$36/空力安定性!$G$47^2*2*(A35*COS(AD35)+AF35*SIN(AD35))*C35*A35</f>
        <v>0.61907110098949825</v>
      </c>
      <c r="AQ35" s="1">
        <f>8/空力安定性!$G$36/空力安定性!$G$47^2*A35^2*C35*(-空力安定性!$G$32)</f>
        <v>-5.845017289502865E-2</v>
      </c>
      <c r="AS35" s="1">
        <f>Z35*プロパティ!D$13</f>
        <v>0.11966586479999999</v>
      </c>
      <c r="AT35" s="1">
        <f>W35*プロパティ!$D$13</f>
        <v>1.0301311713479002E-2</v>
      </c>
      <c r="AU35" s="1">
        <f>AA35*プロパティ!D$13</f>
        <v>9.3964969962000017E-2</v>
      </c>
      <c r="AV35" s="1">
        <f>SUM($AT36:AT$67)*(($A36+$A35)/2-$A35)+AV36</f>
        <v>1.2345433132189568E-2</v>
      </c>
      <c r="AW35" s="1">
        <f t="shared" si="3"/>
        <v>7.0791350985552988E-3</v>
      </c>
      <c r="AX35" s="1">
        <f t="shared" si="18"/>
        <v>6.4608781321388725E-3</v>
      </c>
      <c r="AY35" s="1">
        <f t="shared" si="19"/>
        <v>0.37018104891992398</v>
      </c>
      <c r="AZ35" s="1">
        <f t="shared" si="20"/>
        <v>1.119989958960857E-3</v>
      </c>
    </row>
    <row r="36" spans="1:52">
      <c r="A36" s="1">
        <f>荷重解析!A32</f>
        <v>0.28999999999999998</v>
      </c>
      <c r="C36" s="1">
        <f>荷重解析!I32</f>
        <v>0.22040000000000001</v>
      </c>
      <c r="E36" s="1">
        <f t="shared" si="4"/>
        <v>4.8576160000000007E-2</v>
      </c>
      <c r="F36" s="1">
        <f>$C$7*荷重解析!$D$1-C36*(荷重解析!$D$1)</f>
        <v>3.7572174358871807E-3</v>
      </c>
      <c r="G36" s="1">
        <f t="shared" si="5"/>
        <v>8.2809072286953471E-4</v>
      </c>
      <c r="H36" s="1">
        <f t="shared" si="6"/>
        <v>13.160084000000001</v>
      </c>
      <c r="I36" s="1">
        <f t="shared" si="7"/>
        <v>12.989085816529201</v>
      </c>
      <c r="J36" s="1">
        <f t="shared" si="8"/>
        <v>6.3916000000000001E-2</v>
      </c>
      <c r="K36" s="1">
        <f t="shared" si="9"/>
        <v>1.8535639999999999E-2</v>
      </c>
      <c r="L36" s="1">
        <f>C36*0.01*一般構造素材物性!$H$22*2</f>
        <v>4.5843200000000008E-2</v>
      </c>
      <c r="M36" s="1">
        <f>一般構造素材物性!$H$34*0.01*主翼細分計算!H36/1000+一般構造素材物性!$H$20*0.005*0.01*2</f>
        <v>6.0942483555555552E-2</v>
      </c>
      <c r="N36" s="1">
        <f>一般構造素材物性!$H$19*0.01*0.015</f>
        <v>1.35E-2</v>
      </c>
      <c r="O36" s="1">
        <f t="shared" si="10"/>
        <v>1.35E-2</v>
      </c>
      <c r="P36" s="1">
        <f>IF(COUNTIF(Python読み込み用データ!$Q$4:$Q$13,主翼細分計算!A36*1000),1,0)</f>
        <v>0</v>
      </c>
      <c r="Q36" s="1">
        <f t="shared" si="11"/>
        <v>1.1251375987022222E-5</v>
      </c>
      <c r="R36" s="1">
        <f t="shared" si="12"/>
        <v>6.4678299767928309E-7</v>
      </c>
      <c r="T36" s="1">
        <f>荷重解析!E32*0.01</f>
        <v>1.9700284299999999E-2</v>
      </c>
      <c r="U36" s="1">
        <f>(荷重解析!F32+荷重解析!F33)/2*0.01</f>
        <v>1.0306362999999998E-3</v>
      </c>
      <c r="V36" s="1">
        <f>(荷重解析!G32+荷重解析!G33)/2*0.5*1.293*(荷重解析!C32^2+荷重解析!$B$1^2)*((C37+C36)/2)*0.01*COS(RADIANS(荷重解析!D32))</f>
        <v>6.7351648922789374E-4</v>
      </c>
      <c r="W36" s="1">
        <f t="shared" si="13"/>
        <v>1.7041527892278936E-3</v>
      </c>
      <c r="X36" s="1">
        <f>(荷重解析!H32+荷重解析!H33)/2*0.5*1.293*(荷重解析!C32^2+荷重解析!$B$1^2)*((C37+C36)/2)^2*0.01</f>
        <v>-6.4005219475952795E-4</v>
      </c>
      <c r="Z36" s="1">
        <f>IF(A36=プロパティ!$D$3,T36-プロパティ!$D$8,T36)</f>
        <v>1.9700284299999999E-2</v>
      </c>
      <c r="AA36" s="1">
        <f>SUM(Z37:$Z$91)*(($A37+$A36)/2-$A36)+AA37</f>
        <v>1.40402431575E-2</v>
      </c>
      <c r="AB36" s="1">
        <f>AC36*H36/1000/2*一般構造素材物性!$M$7/1000</f>
        <v>6.4012858082820737E-5</v>
      </c>
      <c r="AC36" s="1">
        <f t="shared" si="1"/>
        <v>1.0809261987963119E-3</v>
      </c>
      <c r="AD36" s="1">
        <f t="shared" si="21"/>
        <v>0.3490658503988659</v>
      </c>
      <c r="AE36" s="1">
        <f t="shared" si="14"/>
        <v>20</v>
      </c>
      <c r="AF36" s="1">
        <f t="shared" si="17"/>
        <v>1.3962634015954637E-2</v>
      </c>
      <c r="AG36" s="1">
        <f t="shared" si="2"/>
        <v>13.962634015954636</v>
      </c>
      <c r="AH36" s="1">
        <f t="shared" si="15"/>
        <v>13.962634015954636</v>
      </c>
      <c r="AI36" s="68">
        <f>-2/空力安定性!$G$36*SIN(AD36)^2*C36*PI()*2*0.9</f>
        <v>-1.3562160291759315</v>
      </c>
      <c r="AJ36" s="1">
        <f t="shared" si="16"/>
        <v>-0.11819909807493301</v>
      </c>
      <c r="AK36" s="1">
        <f>-2/空力安定性!$G$36/空力安定性!$G$47*A36*C36*SIN(AD36)</f>
        <v>-0.20335404168189247</v>
      </c>
      <c r="AL36" s="1">
        <f>-4/空力安定性!$G$36/空力安定性!$G$47*A36*SIN(AD36)*COS(AD36)*C36*2*PI()*0.9</f>
        <v>-2.1611802913167044</v>
      </c>
      <c r="AM36" s="1">
        <f>-4/空力安定性!$G$36/空力安定性!$G$47^2*COS(AD36)*(A36*COS(AD36)+AF36*SIN(AD36))*C36*2*PI()*0.9</f>
        <v>-6.0418484271773165</v>
      </c>
      <c r="AN36" s="1">
        <f>-4/空力安定性!$G$36/空力安定性!$G$47^2*C36*COS(AD36)*A36^2</f>
        <v>-0.32405216985198348</v>
      </c>
      <c r="AO36" s="1">
        <f>4/空力安定性!$G$36/空力安定性!$G$47*2*A36*C36*SIN(AD36)*空力安定性!$G$33</f>
        <v>0.59141978344865942</v>
      </c>
      <c r="AP36" s="1">
        <f>4/空力安定性!$G$36/空力安定性!$G$47^2*2*(A36*COS(AD36)+AF36*SIN(AD36))*C36*A36</f>
        <v>0.65946177194264477</v>
      </c>
      <c r="AQ36" s="1">
        <f>8/空力安定性!$G$36/空力安定性!$G$47^2*A36^2*C36*(-空力安定性!$G$32)</f>
        <v>-6.2024337897996322E-2</v>
      </c>
      <c r="AS36" s="1">
        <f>Z36*プロパティ!D$13</f>
        <v>0.1182017058</v>
      </c>
      <c r="AT36" s="1">
        <f>W36*プロパティ!$D$13</f>
        <v>1.0224916735367361E-2</v>
      </c>
      <c r="AU36" s="1">
        <f>AA36*プロパティ!D$13</f>
        <v>8.4241458945E-2</v>
      </c>
      <c r="AV36" s="1">
        <f>SUM($AT37:AT$67)*(($A37+$A36)/2-$A36)+AV37</f>
        <v>1.123450403001817E-2</v>
      </c>
      <c r="AW36" s="1">
        <f t="shared" si="3"/>
        <v>6.4855571927778721E-3</v>
      </c>
      <c r="AX36" s="1">
        <f t="shared" si="18"/>
        <v>6.5316694831244254E-3</v>
      </c>
      <c r="AY36" s="1">
        <f t="shared" si="19"/>
        <v>0.37423709455742543</v>
      </c>
      <c r="AZ36" s="1">
        <f t="shared" si="20"/>
        <v>1.1845987402822457E-3</v>
      </c>
    </row>
    <row r="37" spans="1:52">
      <c r="A37" s="1">
        <f>荷重解析!A33</f>
        <v>0.3</v>
      </c>
      <c r="C37" s="1">
        <f>荷重解析!I33</f>
        <v>0.218</v>
      </c>
      <c r="E37" s="1">
        <f t="shared" si="4"/>
        <v>4.7523999999999997E-2</v>
      </c>
      <c r="F37" s="1">
        <f>$C$7*荷重解析!$D$1-C37*(荷重解析!$D$1)</f>
        <v>4.6965217948589794E-3</v>
      </c>
      <c r="G37" s="1">
        <f t="shared" si="5"/>
        <v>1.0238417512792575E-3</v>
      </c>
      <c r="H37" s="1">
        <f t="shared" si="6"/>
        <v>13.016780000000001</v>
      </c>
      <c r="I37" s="1">
        <f t="shared" si="7"/>
        <v>12.707742117630003</v>
      </c>
      <c r="J37" s="1">
        <f t="shared" si="8"/>
        <v>6.54E-2</v>
      </c>
      <c r="K37" s="1">
        <f t="shared" si="9"/>
        <v>1.9619999999999999E-2</v>
      </c>
      <c r="L37" s="1">
        <f>C37*0.01*一般構造素材物性!$H$22*2</f>
        <v>4.5344000000000002E-2</v>
      </c>
      <c r="M37" s="1">
        <f>一般構造素材物性!$H$34*0.01*主翼細分計算!H37/1000+一般構造素材物性!$H$20*0.005*0.01*2</f>
        <v>6.0496648888888879E-2</v>
      </c>
      <c r="N37" s="1">
        <f>一般構造素材物性!$H$19*0.01*0.015</f>
        <v>1.35E-2</v>
      </c>
      <c r="O37" s="1">
        <f t="shared" si="10"/>
        <v>1.35E-2</v>
      </c>
      <c r="P37" s="1">
        <f>IF(COUNTIF(Python読み込み用データ!$Q$4:$Q$13,主翼細分計算!A37*1000),1,0)</f>
        <v>1</v>
      </c>
      <c r="Q37" s="1">
        <f t="shared" si="11"/>
        <v>1.019556584E-4</v>
      </c>
      <c r="R37" s="1">
        <f t="shared" si="12"/>
        <v>6.3086676676159994E-7</v>
      </c>
      <c r="T37" s="1">
        <f>荷重解析!E33*0.01</f>
        <v>1.94434689E-2</v>
      </c>
      <c r="U37" s="1">
        <f>(荷重解析!F33+荷重解析!F34)/2*0.01</f>
        <v>1.02251785E-3</v>
      </c>
      <c r="V37" s="1">
        <f>(荷重解析!G33+荷重解析!G34)/2*0.5*1.293*(荷重解析!C33^2+荷重解析!$B$1^2)*((C38+C37)/2)*0.01*COS(RADIANS(荷重解析!D33))</f>
        <v>6.7540274996349546E-4</v>
      </c>
      <c r="W37" s="1">
        <f t="shared" si="13"/>
        <v>1.6979205999634954E-3</v>
      </c>
      <c r="X37" s="1">
        <f>(荷重解析!H33+荷重解析!H34)/2*0.5*1.293*(荷重解析!C33^2+荷重解析!$B$1^2)*((C38+C37)/2)^2*0.01</f>
        <v>-6.2482463518319235E-4</v>
      </c>
      <c r="Z37" s="1">
        <f>IF(A37=プロパティ!$D$3,T37-プロパティ!$D$8,T37)</f>
        <v>1.94434689E-2</v>
      </c>
      <c r="AA37" s="1">
        <f>SUM(Z38:$Z$91)*(($A38+$A37)/2-$A37)+AA38</f>
        <v>1.2518159409499999E-2</v>
      </c>
      <c r="AB37" s="1">
        <f>AC37*H37/1000/2*一般構造素材物性!$M$7/1000</f>
        <v>5.7701640848965706E-5</v>
      </c>
      <c r="AC37" s="1">
        <f t="shared" si="1"/>
        <v>9.8508132236434145E-4</v>
      </c>
      <c r="AD37" s="1">
        <f t="shared" si="21"/>
        <v>0.3490658503988659</v>
      </c>
      <c r="AE37" s="1">
        <f t="shared" si="14"/>
        <v>20</v>
      </c>
      <c r="AF37" s="1">
        <f t="shared" si="17"/>
        <v>1.7453292519943295E-2</v>
      </c>
      <c r="AG37" s="1">
        <f t="shared" si="2"/>
        <v>17.453292519943297</v>
      </c>
      <c r="AH37" s="1">
        <f t="shared" si="15"/>
        <v>17.453292519943297</v>
      </c>
      <c r="AI37" s="68">
        <f>-2/空力安定性!$G$36*SIN(AD37)^2*C37*PI()*2*0.9</f>
        <v>-1.3414477965533258</v>
      </c>
      <c r="AJ37" s="1">
        <f t="shared" si="16"/>
        <v>-0.12137738354093833</v>
      </c>
      <c r="AK37" s="1">
        <f>-2/空力安定性!$G$36/空力安定性!$G$47*A37*C37*SIN(AD37)</f>
        <v>-0.20807551045115097</v>
      </c>
      <c r="AL37" s="1">
        <f>-4/空力安定性!$G$36/空力安定性!$G$47*A37*SIN(AD37)*COS(AD37)*C37*2*PI()*0.9</f>
        <v>-2.2113585182444533</v>
      </c>
      <c r="AM37" s="1">
        <f>-4/空力安定性!$G$36/空力安定性!$G$47^2*COS(AD37)*(A37*COS(AD37)+AF37*SIN(AD37))*C37*2*PI()*0.9</f>
        <v>-6.2043092188132292</v>
      </c>
      <c r="AN37" s="1">
        <f>-4/空力安定性!$G$36/空力安定性!$G$47^2*C37*COS(AD37)*A37^2</f>
        <v>-0.34300965990361898</v>
      </c>
      <c r="AO37" s="1">
        <f>4/空力安定性!$G$36/空力安定性!$G$47*2*A37*C37*SIN(AD37)*空力安定性!$G$33</f>
        <v>0.60515135236157325</v>
      </c>
      <c r="AP37" s="1">
        <f>4/空力安定性!$G$36/空力安定性!$G$47^2*2*(A37*COS(AD37)+AF37*SIN(AD37))*C37*A37</f>
        <v>0.70054573080779958</v>
      </c>
      <c r="AQ37" s="1">
        <f>8/空力安定性!$G$36/空力安定性!$G$47^2*A37^2*C37*(-空力安定性!$G$32)</f>
        <v>-6.5652845521313952E-2</v>
      </c>
      <c r="AS37" s="1">
        <f>Z37*プロパティ!D$13</f>
        <v>0.11666081340000001</v>
      </c>
      <c r="AT37" s="1">
        <f>W37*プロパティ!$D$13</f>
        <v>1.0187523599780972E-2</v>
      </c>
      <c r="AU37" s="1">
        <f>AA37*プロパティ!D$13</f>
        <v>7.5108956456999998E-2</v>
      </c>
      <c r="AV37" s="1">
        <f>SUM($AT38:AT$67)*(($A38+$A37)/2-$A37)+AV38</f>
        <v>1.0174699511523607E-2</v>
      </c>
      <c r="AW37" s="1">
        <f t="shared" si="3"/>
        <v>5.9104879341860487E-3</v>
      </c>
      <c r="AX37" s="1">
        <f t="shared" si="18"/>
        <v>6.5965250550522039E-3</v>
      </c>
      <c r="AY37" s="1">
        <f t="shared" si="19"/>
        <v>0.37795304510679428</v>
      </c>
      <c r="AZ37" s="1">
        <f t="shared" si="20"/>
        <v>1.24991543511349E-3</v>
      </c>
    </row>
    <row r="38" spans="1:52">
      <c r="A38" s="1">
        <f>荷重解析!A34</f>
        <v>0.31</v>
      </c>
      <c r="C38" s="1">
        <f>荷重解析!I34</f>
        <v>0.21560000000000001</v>
      </c>
      <c r="E38" s="1">
        <f t="shared" si="4"/>
        <v>4.6483360000000008E-2</v>
      </c>
      <c r="F38" s="1">
        <f>$C$7*荷重解析!$D$1-C38*(荷重解析!$D$1)</f>
        <v>5.6358261538307641E-3</v>
      </c>
      <c r="G38" s="1">
        <f t="shared" si="5"/>
        <v>1.2150841187659129E-3</v>
      </c>
      <c r="H38" s="1">
        <f t="shared" si="6"/>
        <v>12.873476</v>
      </c>
      <c r="I38" s="1">
        <f t="shared" si="7"/>
        <v>12.429478824193202</v>
      </c>
      <c r="J38" s="1">
        <f t="shared" si="8"/>
        <v>6.6836000000000007E-2</v>
      </c>
      <c r="K38" s="1">
        <f t="shared" si="9"/>
        <v>2.071916E-2</v>
      </c>
      <c r="L38" s="1">
        <f>C38*0.01*一般構造素材物性!$H$22*2</f>
        <v>4.4844800000000011E-2</v>
      </c>
      <c r="M38" s="1">
        <f>一般構造素材物性!$H$34*0.01*主翼細分計算!H38/1000+一般構造素材物性!$H$20*0.005*0.01*2</f>
        <v>6.0050814222222221E-2</v>
      </c>
      <c r="N38" s="1">
        <f>一般構造素材物性!$H$19*0.01*0.015</f>
        <v>1.35E-2</v>
      </c>
      <c r="O38" s="1">
        <f t="shared" si="10"/>
        <v>1.35E-2</v>
      </c>
      <c r="P38" s="1">
        <f>IF(COUNTIF(Python読み込み用データ!$Q$4:$Q$13,主翼細分計算!A38*1000),1,0)</f>
        <v>0</v>
      </c>
      <c r="Q38" s="1">
        <f t="shared" si="11"/>
        <v>1.2675168526755559E-5</v>
      </c>
      <c r="R38" s="1">
        <f t="shared" si="12"/>
        <v>6.1518743422062074E-7</v>
      </c>
      <c r="T38" s="1">
        <f>荷重解析!E34*0.01</f>
        <v>1.9174928000000001E-2</v>
      </c>
      <c r="U38" s="1">
        <f>(荷重解析!F34+荷重解析!F35)/2*0.01</f>
        <v>1.0189370499999999E-3</v>
      </c>
      <c r="V38" s="1">
        <f>(荷重解析!G34+荷重解析!G35)/2*0.5*1.293*(荷重解析!C34^2+荷重解析!$B$1^2)*((C39+C38)/2)*0.01*COS(RADIANS(荷重解析!D34))</f>
        <v>6.7854057888100784E-4</v>
      </c>
      <c r="W38" s="1">
        <f t="shared" si="13"/>
        <v>1.6974776288810078E-3</v>
      </c>
      <c r="X38" s="1">
        <f>(荷重解析!H34+荷重解析!H35)/2*0.5*1.293*(荷重解析!C34^2+荷重解析!$B$1^2)*((C39+C38)/2)^2*0.01</f>
        <v>-6.0980719344484919E-4</v>
      </c>
      <c r="Z38" s="1">
        <f>IF(A38=プロパティ!$D$3,T38-プロパティ!$D$8,T38)</f>
        <v>1.9174928000000001E-2</v>
      </c>
      <c r="AA38" s="1">
        <f>SUM(Z39:$Z$91)*(($A39+$A38)/2-$A38)+AA39</f>
        <v>1.1093293005999998E-2</v>
      </c>
      <c r="AB38" s="1">
        <f>AC38*H38/1000/2*一般構造素材物性!$M$7/1000</f>
        <v>5.1703019476635504E-5</v>
      </c>
      <c r="AC38" s="1">
        <f t="shared" si="1"/>
        <v>8.9249864478690749E-4</v>
      </c>
      <c r="AD38" s="1">
        <f t="shared" si="21"/>
        <v>0.3490658503988659</v>
      </c>
      <c r="AE38" s="1">
        <f t="shared" si="14"/>
        <v>20</v>
      </c>
      <c r="AF38" s="1">
        <f t="shared" si="17"/>
        <v>2.0943951023931956E-2</v>
      </c>
      <c r="AG38" s="1">
        <f t="shared" si="2"/>
        <v>20.943951023931955</v>
      </c>
      <c r="AH38" s="1">
        <f t="shared" si="15"/>
        <v>20.943951023931955</v>
      </c>
      <c r="AI38" s="68">
        <f>-2/空力安定性!$G$36*SIN(AD38)^2*C38*PI()*2*0.9</f>
        <v>-1.3266795639307207</v>
      </c>
      <c r="AJ38" s="1">
        <f t="shared" si="16"/>
        <v>-0.12445734849357305</v>
      </c>
      <c r="AK38" s="1">
        <f>-2/空力安定性!$G$36/空力安定性!$G$47*A38*C38*SIN(AD38)</f>
        <v>-0.21264426324943622</v>
      </c>
      <c r="AL38" s="1">
        <f>-4/空力安定性!$G$36/空力安定性!$G$47*A38*SIN(AD38)*COS(AD38)*C38*2*PI()*0.9</f>
        <v>-2.2599137297459677</v>
      </c>
      <c r="AM38" s="1">
        <f>-4/空力安定性!$G$36/空力安定性!$G$47^2*COS(AD38)*(A38*COS(AD38)+AF38*SIN(AD38))*C38*2*PI()*0.9</f>
        <v>-6.3617442729541702</v>
      </c>
      <c r="AN38" s="1">
        <f>-4/空力安定性!$G$36/空力安定性!$G$47^2*C38*COS(AD38)*A38^2</f>
        <v>-0.36222589322572207</v>
      </c>
      <c r="AO38" s="1">
        <f>4/空力安定性!$G$36/空力安定性!$G$47*2*A38*C38*SIN(AD38)*空力安定性!$G$33</f>
        <v>0.61843877349293763</v>
      </c>
      <c r="AP38" s="1">
        <f>4/空力安定性!$G$36/空力安定性!$G$47^2*2*(A38*COS(AD38)+AF38*SIN(AD38))*C38*A38</f>
        <v>0.74226623059150931</v>
      </c>
      <c r="AQ38" s="1">
        <f>8/空力安定性!$G$36/空力安定性!$G$47^2*A38^2*C38*(-空力安定性!$G$32)</f>
        <v>-6.9330877207512104E-2</v>
      </c>
      <c r="AS38" s="1">
        <f>Z38*プロパティ!D$13</f>
        <v>0.115049568</v>
      </c>
      <c r="AT38" s="1">
        <f>W38*プロパティ!$D$13</f>
        <v>1.0184865773286048E-2</v>
      </c>
      <c r="AU38" s="1">
        <f>AA38*プロパティ!D$13</f>
        <v>6.6559758035999991E-2</v>
      </c>
      <c r="AV38" s="1">
        <f>SUM($AT39:AT$67)*(($A39+$A38)/2-$A38)+AV39</f>
        <v>9.1658326110279492E-3</v>
      </c>
      <c r="AW38" s="1">
        <f t="shared" si="3"/>
        <v>5.3549918687214454E-3</v>
      </c>
      <c r="AX38" s="1">
        <f t="shared" si="18"/>
        <v>6.6556299343940644E-3</v>
      </c>
      <c r="AY38" s="1">
        <f t="shared" si="19"/>
        <v>0.38133950524171289</v>
      </c>
      <c r="AZ38" s="1">
        <f t="shared" si="20"/>
        <v>1.3158806856640121E-3</v>
      </c>
    </row>
    <row r="39" spans="1:52">
      <c r="A39" s="1">
        <f>荷重解析!A35</f>
        <v>0.32</v>
      </c>
      <c r="C39" s="1">
        <f>荷重解析!I35</f>
        <v>0.2132</v>
      </c>
      <c r="E39" s="1">
        <f t="shared" si="4"/>
        <v>4.545424E-2</v>
      </c>
      <c r="F39" s="1">
        <f>$C$7*荷重解析!$D$1-C39*(荷重解析!$D$1)</f>
        <v>6.5751305128025628E-3</v>
      </c>
      <c r="G39" s="1">
        <f t="shared" si="5"/>
        <v>1.4018178253295064E-3</v>
      </c>
      <c r="H39" s="1">
        <f t="shared" si="6"/>
        <v>12.730172</v>
      </c>
      <c r="I39" s="1">
        <f t="shared" si="7"/>
        <v>12.154295936218801</v>
      </c>
      <c r="J39" s="1">
        <f t="shared" si="8"/>
        <v>6.8224000000000007E-2</v>
      </c>
      <c r="K39" s="1">
        <f t="shared" si="9"/>
        <v>2.1831680000000003E-2</v>
      </c>
      <c r="L39" s="1">
        <f>C39*0.01*一般構造素材物性!$H$22*2</f>
        <v>4.4345600000000006E-2</v>
      </c>
      <c r="M39" s="1">
        <f>一般構造素材物性!$H$34*0.01*主翼細分計算!H39/1000+一般構造素材物性!$H$20*0.005*0.01*2</f>
        <v>5.9604979555555548E-2</v>
      </c>
      <c r="N39" s="1">
        <f>一般構造素材物性!$H$19*0.01*0.015</f>
        <v>1.35E-2</v>
      </c>
      <c r="O39" s="1">
        <f t="shared" si="10"/>
        <v>1.35E-2</v>
      </c>
      <c r="P39" s="1">
        <f>IF(COUNTIF(Python読み込み用データ!$Q$4:$Q$13,主翼細分計算!A39*1000),1,0)</f>
        <v>0</v>
      </c>
      <c r="Q39" s="1">
        <f t="shared" si="11"/>
        <v>1.3409339346488889E-5</v>
      </c>
      <c r="R39" s="1">
        <f t="shared" si="12"/>
        <v>5.9974361333219835E-7</v>
      </c>
      <c r="T39" s="1">
        <f>荷重解析!E35*0.01</f>
        <v>1.8892583099999999E-2</v>
      </c>
      <c r="U39" s="1">
        <f>(荷重解析!F35+荷重解析!F36)/2*0.01</f>
        <v>1.0166356000000001E-3</v>
      </c>
      <c r="V39" s="1">
        <f>(荷重解析!G35+荷重解析!G36)/2*0.5*1.293*(荷重解析!C35^2+荷重解析!$B$1^2)*((C40+C39)/2)*0.01*COS(RADIANS(荷重解析!D35))</f>
        <v>6.8209134790459642E-4</v>
      </c>
      <c r="W39" s="1">
        <f t="shared" si="13"/>
        <v>1.6987269479045966E-3</v>
      </c>
      <c r="X39" s="1">
        <f>(荷重解析!H35+荷重解析!H36)/2*0.5*1.293*(荷重解析!C35^2+荷重解析!$B$1^2)*((C40+C39)/2)^2*0.01</f>
        <v>-5.949939376541152E-4</v>
      </c>
      <c r="Z39" s="1">
        <f>IF(A39=プロパティ!$D$3,T39-プロパティ!$D$8,T39)</f>
        <v>1.8892583099999999E-2</v>
      </c>
      <c r="AA39" s="1">
        <f>SUM(Z40:$Z$91)*(($A40+$A39)/2-$A39)+AA40</f>
        <v>9.764301242499997E-3</v>
      </c>
      <c r="AB39" s="1">
        <f>AC39*H39/1000/2*一般構造素材物性!$M$7/1000</f>
        <v>4.6021222223077557E-5</v>
      </c>
      <c r="AC39" s="1">
        <f t="shared" ref="AC39:AC51" si="22">AA39/I39</f>
        <v>8.03362144030341E-4</v>
      </c>
      <c r="AD39" s="1">
        <f t="shared" si="21"/>
        <v>0.3490658503988659</v>
      </c>
      <c r="AE39" s="1">
        <f t="shared" si="14"/>
        <v>20</v>
      </c>
      <c r="AF39" s="1">
        <f t="shared" si="17"/>
        <v>2.4434609527920616E-2</v>
      </c>
      <c r="AG39" s="1">
        <f t="shared" si="2"/>
        <v>24.434609527920617</v>
      </c>
      <c r="AH39" s="1">
        <f t="shared" si="15"/>
        <v>24.434609527920617</v>
      </c>
      <c r="AI39" s="68">
        <f>-2/空力安定性!$G$36*SIN(AD39)^2*C39*PI()*2*0.9</f>
        <v>-1.3119113313081152</v>
      </c>
      <c r="AJ39" s="1">
        <f t="shared" si="16"/>
        <v>-0.12743899293283714</v>
      </c>
      <c r="AK39" s="1">
        <f>-2/空力安定性!$G$36/空力安定性!$G$47*A39*C39*SIN(AD39)</f>
        <v>-0.21706030007674806</v>
      </c>
      <c r="AL39" s="1">
        <f>-4/空力安定性!$G$36/空力安定性!$G$47*A39*SIN(AD39)*COS(AD39)*C39*2*PI()*0.9</f>
        <v>-2.3068459258212473</v>
      </c>
      <c r="AM39" s="1">
        <f>-4/空力安定性!$G$36/空力安定性!$G$47^2*COS(AD39)*(A39*COS(AD39)+AF39*SIN(AD39))*C39*2*PI()*0.9</f>
        <v>-6.5141535896001344</v>
      </c>
      <c r="AN39" s="1">
        <f>-4/空力安定性!$G$36/空力安定性!$G$47^2*C39*COS(AD39)*A39^2</f>
        <v>-0.38167569479738234</v>
      </c>
      <c r="AO39" s="1">
        <f>4/空力安定性!$G$36/空力安定性!$G$47*2*A39*C39*SIN(AD39)*空力安定性!$G$33</f>
        <v>0.63128204684275191</v>
      </c>
      <c r="AP39" s="1">
        <f>4/空力安定性!$G$36/空力安定性!$G$47^2*2*(A39*COS(AD39)+AF39*SIN(AD39))*C39*A39</f>
        <v>0.78456652430031892</v>
      </c>
      <c r="AQ39" s="1">
        <f>8/空力安定性!$G$36/空力安定性!$G$47^2*A39^2*C39*(-空力安定性!$G$32)</f>
        <v>-7.3053614399121294E-2</v>
      </c>
      <c r="AS39" s="1">
        <f>Z39*プロパティ!D$13</f>
        <v>0.11335549859999999</v>
      </c>
      <c r="AT39" s="1">
        <f>W39*プロパティ!$D$13</f>
        <v>1.0192361687427581E-2</v>
      </c>
      <c r="AU39" s="1">
        <f>AA39*プロパティ!D$13</f>
        <v>5.8585807454999986E-2</v>
      </c>
      <c r="AV39" s="1">
        <f>SUM($AT40:AT$67)*(($A40+$A39)/2-$A39)+AV40</f>
        <v>8.2078900393987228E-3</v>
      </c>
      <c r="AW39" s="1">
        <f t="shared" si="3"/>
        <v>4.8201728641820464E-3</v>
      </c>
      <c r="AX39" s="1">
        <f t="shared" si="18"/>
        <v>6.7091798530812792E-3</v>
      </c>
      <c r="AY39" s="1">
        <f t="shared" si="19"/>
        <v>0.38440768957575905</v>
      </c>
      <c r="AZ39" s="1">
        <f t="shared" si="20"/>
        <v>1.3824369850079527E-3</v>
      </c>
    </row>
    <row r="40" spans="1:52">
      <c r="A40" s="1">
        <f>荷重解析!A36</f>
        <v>0.33</v>
      </c>
      <c r="C40" s="1">
        <f>荷重解析!I36</f>
        <v>0.21079999999999999</v>
      </c>
      <c r="E40" s="1">
        <f t="shared" si="4"/>
        <v>4.4436639999999993E-2</v>
      </c>
      <c r="F40" s="1">
        <f>$C$7*荷重解析!$D$1-C40*(荷重解析!$D$1)</f>
        <v>7.5144348717743614E-3</v>
      </c>
      <c r="G40" s="1">
        <f t="shared" si="5"/>
        <v>1.5840428709700354E-3</v>
      </c>
      <c r="H40" s="1">
        <f t="shared" si="6"/>
        <v>12.586867999999999</v>
      </c>
      <c r="I40" s="1">
        <f t="shared" si="7"/>
        <v>11.882193453706799</v>
      </c>
      <c r="J40" s="1">
        <f t="shared" si="8"/>
        <v>6.9564000000000001E-2</v>
      </c>
      <c r="K40" s="1">
        <f t="shared" si="9"/>
        <v>2.295612E-2</v>
      </c>
      <c r="L40" s="1">
        <f>C40*0.01*一般構造素材物性!$H$22*2</f>
        <v>4.3846400000000001E-2</v>
      </c>
      <c r="M40" s="1">
        <f>一般構造素材物性!$H$34*0.01*主翼細分計算!H40/1000+一般構造素材物性!$H$20*0.005*0.01*2</f>
        <v>5.9159144888888876E-2</v>
      </c>
      <c r="N40" s="1">
        <f>一般構造素材物性!$H$19*0.01*0.015</f>
        <v>1.35E-2</v>
      </c>
      <c r="O40" s="1">
        <f t="shared" si="10"/>
        <v>1.35E-2</v>
      </c>
      <c r="P40" s="1">
        <f>IF(COUNTIF(Python読み込み用データ!$Q$4:$Q$13,主翼細分計算!A40*1000),1,0)</f>
        <v>0</v>
      </c>
      <c r="Q40" s="1">
        <f t="shared" si="11"/>
        <v>1.4157603838400001E-5</v>
      </c>
      <c r="R40" s="1">
        <f t="shared" si="12"/>
        <v>5.845339173721853E-7</v>
      </c>
      <c r="T40" s="1">
        <f>荷重解析!E36*0.01</f>
        <v>1.85949184E-2</v>
      </c>
      <c r="U40" s="1">
        <f>(荷重解析!F36+荷重解析!F37)/2*0.01</f>
        <v>1.0157032E-3</v>
      </c>
      <c r="V40" s="1">
        <f>(荷重解析!G36+荷重解析!G37)/2*0.5*1.293*(荷重解析!C36^2+荷重解析!$B$1^2)*((C41+C40)/2)*0.01*COS(RADIANS(荷重解析!D36))</f>
        <v>6.8611948370967324E-4</v>
      </c>
      <c r="W40" s="1">
        <f t="shared" si="13"/>
        <v>1.7018226837096733E-3</v>
      </c>
      <c r="X40" s="1">
        <f>(荷重解析!H36+荷重解析!H37)/2*0.5*1.293*(荷重解析!C36^2+荷重解析!$B$1^2)*((C41+C40)/2)^2*0.01</f>
        <v>-5.8038427559033558E-4</v>
      </c>
      <c r="Z40" s="1">
        <f>IF(A40=プロパティ!$D$3,T40-プロパティ!$D$8,T40)</f>
        <v>1.85949184E-2</v>
      </c>
      <c r="AA40" s="1">
        <f>SUM(Z41:$Z$91)*(($A41+$A40)/2-$A40)+AA41</f>
        <v>8.5297723944999966E-3</v>
      </c>
      <c r="AB40" s="1">
        <f>AC40*H40/1000/2*一般構造素材物性!$M$7/1000</f>
        <v>4.0660340894176352E-5</v>
      </c>
      <c r="AC40" s="1">
        <f t="shared" si="22"/>
        <v>7.1786176750379595E-4</v>
      </c>
      <c r="AD40" s="1">
        <f t="shared" si="21"/>
        <v>0.3490658503988659</v>
      </c>
      <c r="AE40" s="1">
        <f t="shared" si="14"/>
        <v>20</v>
      </c>
      <c r="AF40" s="1">
        <f t="shared" si="17"/>
        <v>2.7925268031909277E-2</v>
      </c>
      <c r="AG40" s="1">
        <f t="shared" si="2"/>
        <v>27.925268031909276</v>
      </c>
      <c r="AH40" s="1">
        <f t="shared" si="15"/>
        <v>27.925268031909276</v>
      </c>
      <c r="AI40" s="68">
        <f>-2/空力安定性!$G$36*SIN(AD40)^2*C40*PI()*2*0.9</f>
        <v>-1.2971430986855097</v>
      </c>
      <c r="AJ40" s="1">
        <f t="shared" si="16"/>
        <v>-0.13032231685873066</v>
      </c>
      <c r="AK40" s="1">
        <f>-2/空力安定性!$G$36/空力安定性!$G$47*A40*C40*SIN(AD40)</f>
        <v>-0.22132362093308663</v>
      </c>
      <c r="AL40" s="1">
        <f>-4/空力安定性!$G$36/空力安定性!$G$47*A40*SIN(AD40)*COS(AD40)*C40*2*PI()*0.9</f>
        <v>-2.3521551064702928</v>
      </c>
      <c r="AM40" s="1">
        <f>-4/空力安定性!$G$36/空力安定性!$G$47^2*COS(AD40)*(A40*COS(AD40)+AF40*SIN(AD40))*C40*2*PI()*0.9</f>
        <v>-6.6615371687511233</v>
      </c>
      <c r="AN40" s="1">
        <f>-4/空力安定性!$G$36/空力安定性!$G$47^2*C40*COS(AD40)*A40^2</f>
        <v>-0.4013338895976894</v>
      </c>
      <c r="AO40" s="1">
        <f>4/空力安定性!$G$36/空力安定性!$G$47*2*A40*C40*SIN(AD40)*空力安定性!$G$33</f>
        <v>0.64368117241101663</v>
      </c>
      <c r="AP40" s="1">
        <f>4/空力安定性!$G$36/空力安定性!$G$47^2*2*(A40*COS(AD40)+AF40*SIN(AD40))*C40*A40</f>
        <v>0.82738986494077527</v>
      </c>
      <c r="AQ40" s="1">
        <f>8/空力安定性!$G$36/空力安定性!$G$47^2*A40^2*C40*(-空力安定性!$G$32)</f>
        <v>-7.681623853867206E-2</v>
      </c>
      <c r="AS40" s="1">
        <f>Z40*プロパティ!D$13</f>
        <v>0.1115695104</v>
      </c>
      <c r="AT40" s="1">
        <f>W40*プロパティ!$D$13</f>
        <v>1.0210936102258039E-2</v>
      </c>
      <c r="AU40" s="1">
        <f>AA40*プロパティ!D$13</f>
        <v>5.117863436699998E-2</v>
      </c>
      <c r="AV40" s="1">
        <f>SUM($AT41:AT$67)*(($A41+$A40)/2-$A40)+AV41</f>
        <v>7.3009092762066343E-3</v>
      </c>
      <c r="AW40" s="1">
        <f t="shared" si="3"/>
        <v>4.3071706050227757E-3</v>
      </c>
      <c r="AX40" s="1">
        <f t="shared" si="18"/>
        <v>6.7573815817231001E-3</v>
      </c>
      <c r="AY40" s="1">
        <f t="shared" si="19"/>
        <v>0.38716944519217023</v>
      </c>
      <c r="AZ40" s="1">
        <f t="shared" si="20"/>
        <v>1.4495287835387654E-3</v>
      </c>
    </row>
    <row r="41" spans="1:52">
      <c r="A41" s="1">
        <f>荷重解析!A37</f>
        <v>0.34</v>
      </c>
      <c r="C41" s="1">
        <f>荷重解析!I37</f>
        <v>0.2084</v>
      </c>
      <c r="E41" s="1">
        <f t="shared" si="4"/>
        <v>4.343056E-2</v>
      </c>
      <c r="F41" s="1">
        <f>$C$7*荷重解析!$D$1-C41*(荷重解析!$D$1)</f>
        <v>8.4537392307461601E-3</v>
      </c>
      <c r="G41" s="1">
        <f t="shared" si="5"/>
        <v>1.7617592556874997E-3</v>
      </c>
      <c r="H41" s="1">
        <f t="shared" si="6"/>
        <v>12.443564</v>
      </c>
      <c r="I41" s="1">
        <f t="shared" si="7"/>
        <v>11.613171376657201</v>
      </c>
      <c r="J41" s="1">
        <f t="shared" si="8"/>
        <v>7.0856000000000002E-2</v>
      </c>
      <c r="K41" s="1">
        <f t="shared" si="9"/>
        <v>2.4091040000000001E-2</v>
      </c>
      <c r="L41" s="1">
        <f>C41*0.01*一般構造素材物性!$H$22*2</f>
        <v>4.3347200000000002E-2</v>
      </c>
      <c r="M41" s="1">
        <f>一般構造素材物性!$H$34*0.01*主翼細分計算!H41/1000+一般構造素材物性!$H$20*0.005*0.01*2</f>
        <v>5.8713310222222218E-2</v>
      </c>
      <c r="N41" s="1">
        <f>一般構造素材物性!$H$19*0.01*0.015</f>
        <v>1.35E-2</v>
      </c>
      <c r="O41" s="1">
        <f t="shared" si="10"/>
        <v>1.35E-2</v>
      </c>
      <c r="P41" s="1">
        <f>IF(COUNTIF(Python読み込み用データ!$Q$4:$Q$13,主翼細分計算!A41*1000),1,0)</f>
        <v>0</v>
      </c>
      <c r="Q41" s="1">
        <f t="shared" si="11"/>
        <v>1.4919394981688894E-5</v>
      </c>
      <c r="R41" s="1">
        <f t="shared" si="12"/>
        <v>5.6955695961643506E-7</v>
      </c>
      <c r="T41" s="1">
        <f>荷重解析!E37*0.01</f>
        <v>1.82804453E-2</v>
      </c>
      <c r="U41" s="1">
        <f>(荷重解析!F37+荷重解析!F38)/2*0.01</f>
        <v>1.01621945E-3</v>
      </c>
      <c r="V41" s="1">
        <f>(荷重解析!G37+荷重解析!G38)/2*0.5*1.293*(荷重解析!C37^2+荷重解析!$B$1^2)*((C42+C41)/2)*0.01*COS(RADIANS(荷重解析!D37))</f>
        <v>6.9054636610626986E-4</v>
      </c>
      <c r="W41" s="1">
        <f t="shared" si="13"/>
        <v>1.7067658161062699E-3</v>
      </c>
      <c r="X41" s="1">
        <f>(荷重解析!H37+荷重解析!H38)/2*0.5*1.293*(荷重解析!C37^2+荷重解析!$B$1^2)*((C42+C41)/2)^2*0.01</f>
        <v>-5.6578031910321498E-4</v>
      </c>
      <c r="Z41" s="1">
        <f>IF(A41=プロパティ!$D$3,T41-プロパティ!$D$8,T41)</f>
        <v>1.82804453E-2</v>
      </c>
      <c r="AA41" s="1">
        <f>SUM(Z42:$Z$91)*(($A42+$A41)/2-$A41)+AA42</f>
        <v>7.3882181384999947E-3</v>
      </c>
      <c r="AB41" s="1">
        <f>AC41*H41/1000/2*一般構造素材物性!$M$7/1000</f>
        <v>3.5624286443176534E-5</v>
      </c>
      <c r="AC41" s="1">
        <f t="shared" si="22"/>
        <v>6.3619298285311795E-4</v>
      </c>
      <c r="AD41" s="1">
        <f t="shared" si="21"/>
        <v>0.3490658503988659</v>
      </c>
      <c r="AE41" s="1">
        <f t="shared" si="14"/>
        <v>20</v>
      </c>
      <c r="AF41" s="1">
        <f t="shared" si="17"/>
        <v>3.1415926535897934E-2</v>
      </c>
      <c r="AG41" s="1">
        <f t="shared" si="2"/>
        <v>31.415926535897935</v>
      </c>
      <c r="AH41" s="1">
        <f t="shared" si="15"/>
        <v>31.415926535897935</v>
      </c>
      <c r="AI41" s="68">
        <f>-2/空力安定性!$G$36*SIN(AD41)^2*C41*PI()*2*0.9</f>
        <v>-1.2823748660629042</v>
      </c>
      <c r="AJ41" s="1">
        <f t="shared" si="16"/>
        <v>-0.1331073202712536</v>
      </c>
      <c r="AK41" s="1">
        <f>-2/空力安定性!$G$36/空力安定性!$G$47*A41*C41*SIN(AD41)</f>
        <v>-0.22543422581845193</v>
      </c>
      <c r="AL41" s="1">
        <f>-4/空力安定性!$G$36/空力安定性!$G$47*A41*SIN(AD41)*COS(AD41)*C41*2*PI()*0.9</f>
        <v>-2.3958412716931039</v>
      </c>
      <c r="AM41" s="1">
        <f>-4/空力安定性!$G$36/空力安定性!$G$47^2*COS(AD41)*(A41*COS(AD41)+AF41*SIN(AD41))*C41*2*PI()*0.9</f>
        <v>-6.8038950104071398</v>
      </c>
      <c r="AN41" s="1">
        <f>-4/空力安定性!$G$36/空力安定性!$G$47^2*C41*COS(AD41)*A41^2</f>
        <v>-0.42117530260573305</v>
      </c>
      <c r="AO41" s="1">
        <f>4/空力安定性!$G$36/空力安定性!$G$47*2*A41*C41*SIN(AD41)*空力安定性!$G$33</f>
        <v>0.65563615019773158</v>
      </c>
      <c r="AP41" s="1">
        <f>4/空力安定性!$G$36/空力安定性!$G$47^2*2*(A41*COS(AD41)+AF41*SIN(AD41))*C41*A41</f>
        <v>0.87067950551942408</v>
      </c>
      <c r="AQ41" s="1">
        <f>8/空力安定性!$G$36/空力安定性!$G$47^2*A41^2*C41*(-空力安定性!$G$32)</f>
        <v>-8.061393106869498E-2</v>
      </c>
      <c r="AS41" s="1">
        <f>Z41*プロパティ!D$13</f>
        <v>0.10968267179999999</v>
      </c>
      <c r="AT41" s="1">
        <f>W41*プロパティ!$D$13</f>
        <v>1.0240594896637619E-2</v>
      </c>
      <c r="AU41" s="1">
        <f>AA41*プロパティ!D$13</f>
        <v>4.4329308830999968E-2</v>
      </c>
      <c r="AV41" s="1">
        <f>SUM($AT42:AT$67)*(($A42+$A41)/2-$A41)+AV42</f>
        <v>6.4449831935258356E-3</v>
      </c>
      <c r="AW41" s="1">
        <f t="shared" si="3"/>
        <v>3.8171578971187077E-3</v>
      </c>
      <c r="AX41" s="1">
        <f t="shared" si="18"/>
        <v>6.8004532877733274E-3</v>
      </c>
      <c r="AY41" s="1">
        <f t="shared" si="19"/>
        <v>0.38963727216527633</v>
      </c>
      <c r="AZ41" s="1">
        <f t="shared" si="20"/>
        <v>1.5171025993559965E-3</v>
      </c>
    </row>
    <row r="42" spans="1:52">
      <c r="A42" s="1">
        <f>荷重解析!A38</f>
        <v>0.35</v>
      </c>
      <c r="C42" s="1">
        <f>荷重解析!I38</f>
        <v>0.20599999999999999</v>
      </c>
      <c r="E42" s="1">
        <f t="shared" si="4"/>
        <v>4.2435999999999995E-2</v>
      </c>
      <c r="F42" s="1">
        <f>$C$7*荷重解析!$D$1-C42*(荷重解析!$D$1)</f>
        <v>9.3930435897179587E-3</v>
      </c>
      <c r="G42" s="1">
        <f t="shared" si="5"/>
        <v>1.9349669794818994E-3</v>
      </c>
      <c r="H42" s="1">
        <f t="shared" si="6"/>
        <v>12.300259999999998</v>
      </c>
      <c r="I42" s="1">
        <f t="shared" si="7"/>
        <v>11.347229705069999</v>
      </c>
      <c r="J42" s="1">
        <f t="shared" si="8"/>
        <v>7.2099999999999997E-2</v>
      </c>
      <c r="K42" s="1">
        <f t="shared" si="9"/>
        <v>2.5234999999999997E-2</v>
      </c>
      <c r="L42" s="1">
        <f>C42*0.01*一般構造素材物性!$H$22*2</f>
        <v>4.2847999999999997E-2</v>
      </c>
      <c r="M42" s="1">
        <f>一般構造素材物性!$H$34*0.01*主翼細分計算!H42/1000+一般構造素材物性!$H$20*0.005*0.01*2</f>
        <v>5.8267475555555545E-2</v>
      </c>
      <c r="N42" s="1">
        <f>一般構造素材物性!$H$19*0.01*0.015</f>
        <v>1.35E-2</v>
      </c>
      <c r="O42" s="1">
        <f t="shared" si="10"/>
        <v>1.35E-2</v>
      </c>
      <c r="P42" s="1">
        <f>IF(COUNTIF(Python読み込み用データ!$Q$4:$Q$13,主翼細分計算!A42*1000),1,0)</f>
        <v>1</v>
      </c>
      <c r="Q42" s="1">
        <f t="shared" si="11"/>
        <v>1.3819414575555553E-4</v>
      </c>
      <c r="R42" s="1">
        <f t="shared" si="12"/>
        <v>5.5481135334079986E-7</v>
      </c>
      <c r="T42" s="1">
        <f>荷重解析!E38*0.01</f>
        <v>1.79473611E-2</v>
      </c>
      <c r="U42" s="1">
        <f>(荷重解析!F38+荷重解析!F39)/2*0.01</f>
        <v>1.0182633999999999E-3</v>
      </c>
      <c r="V42" s="1">
        <f>(荷重解析!G38+荷重解析!G39)/2*0.5*1.293*(荷重解析!C38^2+荷重解析!$B$1^2)*((C43+C42)/2)*0.01*COS(RADIANS(荷重解析!D38))</f>
        <v>6.9515089479080629E-4</v>
      </c>
      <c r="W42" s="1">
        <f t="shared" si="13"/>
        <v>1.7134142947908063E-3</v>
      </c>
      <c r="X42" s="1">
        <f>(荷重解析!H38+荷重解析!H39)/2*0.5*1.293*(荷重解析!C38^2+荷重解析!$B$1^2)*((C43+C42)/2)^2*0.01</f>
        <v>-5.5079001969317559E-4</v>
      </c>
      <c r="Z42" s="1">
        <f>IF(A42=プロパティ!$D$3,T42-プロパティ!$D$8,T42)</f>
        <v>1.79473611E-2</v>
      </c>
      <c r="AA42" s="1">
        <f>SUM(Z43:$Z$91)*(($A43+$A42)/2-$A42)+AA43</f>
        <v>6.338066109000005E-3</v>
      </c>
      <c r="AB42" s="1">
        <f>AC42*H42/1000/2*一般構造素材物性!$M$7/1000</f>
        <v>3.0916742129028187E-5</v>
      </c>
      <c r="AC42" s="1">
        <f t="shared" si="22"/>
        <v>5.5855625326489385E-4</v>
      </c>
      <c r="AD42" s="1">
        <f t="shared" si="21"/>
        <v>0.3490658503988659</v>
      </c>
      <c r="AE42" s="1">
        <f t="shared" si="14"/>
        <v>20</v>
      </c>
      <c r="AF42" s="1">
        <f t="shared" si="17"/>
        <v>3.4906585039886591E-2</v>
      </c>
      <c r="AG42" s="1">
        <f t="shared" si="2"/>
        <v>34.906585039886593</v>
      </c>
      <c r="AH42" s="1">
        <f t="shared" si="15"/>
        <v>34.906585039886593</v>
      </c>
      <c r="AI42" s="68">
        <f>-2/空力安定性!$G$36*SIN(AD42)^2*C42*PI()*2*0.9</f>
        <v>-1.2676066334402989</v>
      </c>
      <c r="AJ42" s="1">
        <f t="shared" si="16"/>
        <v>-0.13579400317040594</v>
      </c>
      <c r="AK42" s="1">
        <f>-2/空力安定性!$G$36/空力安定性!$G$47*A42*C42*SIN(AD42)</f>
        <v>-0.22939211473284379</v>
      </c>
      <c r="AL42" s="1">
        <f>-4/空力安定性!$G$36/空力安定性!$G$47*A42*SIN(AD42)*COS(AD42)*C42*2*PI()*0.9</f>
        <v>-2.4379044214896801</v>
      </c>
      <c r="AM42" s="1">
        <f>-4/空力安定性!$G$36/空力安定性!$G$47^2*COS(AD42)*(A42*COS(AD42)+AF42*SIN(AD42))*C42*2*PI()*0.9</f>
        <v>-6.9412271145681776</v>
      </c>
      <c r="AN42" s="1">
        <f>-4/空力安定性!$G$36/空力安定性!$G$47^2*C42*COS(AD42)*A42^2</f>
        <v>-0.44117475880060258</v>
      </c>
      <c r="AO42" s="1">
        <f>4/空力安定性!$G$36/空力安定性!$G$47*2*A42*C42*SIN(AD42)*空力安定性!$G$33</f>
        <v>0.66714698020289653</v>
      </c>
      <c r="AP42" s="1">
        <f>4/空力安定性!$G$36/空力安定性!$G$47^2*2*(A42*COS(AD42)+AF42*SIN(AD42))*C42*A42</f>
        <v>0.91437869904281077</v>
      </c>
      <c r="AQ42" s="1">
        <f>8/空力安定性!$G$36/空力安定性!$G$47^2*A42^2*C42*(-空力安定性!$G$32)</f>
        <v>-8.4441873431720563E-2</v>
      </c>
      <c r="AS42" s="1">
        <f>Z42*プロパティ!D$13</f>
        <v>0.10768416659999999</v>
      </c>
      <c r="AT42" s="1">
        <f>W42*プロパティ!$D$13</f>
        <v>1.0280485768744838E-2</v>
      </c>
      <c r="AU42" s="1">
        <f>AA42*プロパティ!D$13</f>
        <v>3.8028396654000027E-2</v>
      </c>
      <c r="AV42" s="1">
        <f>SUM($AT43:AT$67)*(($A43+$A42)/2-$A42)+AV43</f>
        <v>5.6402600853282343E-3</v>
      </c>
      <c r="AW42" s="1">
        <f t="shared" si="3"/>
        <v>3.3513375195893627E-3</v>
      </c>
      <c r="AX42" s="1">
        <f t="shared" si="18"/>
        <v>6.8386248667445144E-3</v>
      </c>
      <c r="AY42" s="1">
        <f t="shared" si="19"/>
        <v>0.39182434253767567</v>
      </c>
      <c r="AZ42" s="1">
        <f t="shared" si="20"/>
        <v>1.5851071322337297E-3</v>
      </c>
    </row>
    <row r="43" spans="1:52">
      <c r="A43" s="1">
        <f>荷重解析!A39</f>
        <v>0.36</v>
      </c>
      <c r="C43" s="1">
        <f>荷重解析!I39</f>
        <v>0.2036</v>
      </c>
      <c r="E43" s="1">
        <f t="shared" si="4"/>
        <v>4.1452960000000004E-2</v>
      </c>
      <c r="F43" s="1">
        <f>$C$7*荷重解析!$D$1-C43*(荷重解析!$D$1)</f>
        <v>1.0332347948689743E-2</v>
      </c>
      <c r="G43" s="1">
        <f t="shared" si="5"/>
        <v>2.1036660423532317E-3</v>
      </c>
      <c r="H43" s="1">
        <f t="shared" si="6"/>
        <v>12.156955999999999</v>
      </c>
      <c r="I43" s="1">
        <f t="shared" si="7"/>
        <v>11.0843684389452</v>
      </c>
      <c r="J43" s="1">
        <f t="shared" si="8"/>
        <v>7.3296E-2</v>
      </c>
      <c r="K43" s="1">
        <f t="shared" si="9"/>
        <v>2.638656E-2</v>
      </c>
      <c r="L43" s="1">
        <f>C43*0.01*一般構造素材物性!$H$22*2</f>
        <v>4.2348800000000006E-2</v>
      </c>
      <c r="M43" s="1">
        <f>一般構造素材物性!$H$34*0.01*主翼細分計算!H43/1000+一般構造素材物性!$H$20*0.005*0.01*2</f>
        <v>5.7821640888888887E-2</v>
      </c>
      <c r="N43" s="1">
        <f>一般構造素材物性!$H$19*0.01*0.015</f>
        <v>1.35E-2</v>
      </c>
      <c r="O43" s="1">
        <f t="shared" si="10"/>
        <v>1.35E-2</v>
      </c>
      <c r="P43" s="1">
        <f>IF(COUNTIF(Python読み込み用データ!$Q$4:$Q$13,主翼細分計算!A43*1000),1,0)</f>
        <v>0</v>
      </c>
      <c r="Q43" s="1">
        <f t="shared" si="11"/>
        <v>1.6481289139199999E-5</v>
      </c>
      <c r="R43" s="1">
        <f t="shared" si="12"/>
        <v>5.4029571182113263E-7</v>
      </c>
      <c r="T43" s="1">
        <f>荷重解析!E39*0.01</f>
        <v>1.7593508899999999E-2</v>
      </c>
      <c r="U43" s="1">
        <f>(荷重解析!F39+荷重解析!F40)/2*0.01</f>
        <v>1.0219096000000001E-3</v>
      </c>
      <c r="V43" s="1">
        <f>(荷重解析!G39+荷重解析!G40)/2*0.5*1.293*(荷重解析!C39^2+荷重解析!$B$1^2)*((C44+C43)/2)*0.01*COS(RADIANS(荷重解析!D39))</f>
        <v>7.0014181032757928E-4</v>
      </c>
      <c r="W43" s="1">
        <f t="shared" si="13"/>
        <v>1.7220514103275793E-3</v>
      </c>
      <c r="X43" s="1">
        <f>(荷重解析!H39+荷重解析!H40)/2*0.5*1.293*(荷重解析!C39^2+荷重解析!$B$1^2)*((C44+C43)/2)^2*0.01</f>
        <v>-5.3557008598186624E-4</v>
      </c>
      <c r="Z43" s="1">
        <f>IF(A43=プロパティ!$D$3,T43-プロパティ!$D$8,T43)</f>
        <v>1.7593508899999999E-2</v>
      </c>
      <c r="AA43" s="1">
        <f>SUM(Z44:$Z$91)*(($A44+$A43)/2-$A43)+AA44</f>
        <v>5.3776508850000041E-3</v>
      </c>
      <c r="AB43" s="1">
        <f>AC43*H43/1000/2*一般構造素材物性!$M$7/1000</f>
        <v>2.6541105610647949E-5</v>
      </c>
      <c r="AC43" s="1">
        <f t="shared" si="22"/>
        <v>4.8515627341522643E-4</v>
      </c>
      <c r="AD43" s="1">
        <f t="shared" si="21"/>
        <v>0.3490658503988659</v>
      </c>
      <c r="AE43" s="1">
        <f t="shared" si="14"/>
        <v>20</v>
      </c>
      <c r="AF43" s="1">
        <f t="shared" si="17"/>
        <v>3.8397243543875248E-2</v>
      </c>
      <c r="AG43" s="1">
        <f t="shared" si="2"/>
        <v>38.397243543875248</v>
      </c>
      <c r="AH43" s="1">
        <f t="shared" si="15"/>
        <v>38.397243543875248</v>
      </c>
      <c r="AI43" s="68">
        <f>-2/空力安定性!$G$36*SIN(AD43)^2*C43*PI()*2*0.9</f>
        <v>-1.2528384008176934</v>
      </c>
      <c r="AJ43" s="1">
        <f t="shared" si="16"/>
        <v>-0.13838236555618769</v>
      </c>
      <c r="AK43" s="1">
        <f>-2/空力安定性!$G$36/空力安定性!$G$47*A43*C43*SIN(AD43)</f>
        <v>-0.23319728767626238</v>
      </c>
      <c r="AL43" s="1">
        <f>-4/空力安定性!$G$36/空力安定性!$G$47*A43*SIN(AD43)*COS(AD43)*C43*2*PI()*0.9</f>
        <v>-2.4783445558600219</v>
      </c>
      <c r="AM43" s="1">
        <f>-4/空力安定性!$G$36/空力安定性!$G$47^2*COS(AD43)*(A43*COS(AD43)+AF43*SIN(AD43))*C43*2*PI()*0.9</f>
        <v>-7.0735334812342465</v>
      </c>
      <c r="AN43" s="1">
        <f>-4/空力安定性!$G$36/空力安定性!$G$47^2*C43*COS(AD43)*A43^2</f>
        <v>-0.46130708316138819</v>
      </c>
      <c r="AO43" s="1">
        <f>4/空力安定性!$G$36/空力安定性!$G$47*2*A43*C43*SIN(AD43)*空力安定性!$G$33</f>
        <v>0.67821366242651182</v>
      </c>
      <c r="AP43" s="1">
        <f>4/空力安定性!$G$36/空力安定性!$G$47^2*2*(A43*COS(AD43)+AF43*SIN(AD43))*C43*A43</f>
        <v>0.95843069851748275</v>
      </c>
      <c r="AQ43" s="1">
        <f>8/空力安定性!$G$36/空力安定性!$G$47^2*A43^2*C43*(-空力安定性!$G$32)</f>
        <v>-8.8295247070279401E-2</v>
      </c>
      <c r="AS43" s="1">
        <f>Z43*プロパティ!D$13</f>
        <v>0.10556105339999999</v>
      </c>
      <c r="AT43" s="1">
        <f>W43*プロパティ!$D$13</f>
        <v>1.0332308461965475E-2</v>
      </c>
      <c r="AU43" s="1">
        <f>AA43*プロパティ!D$13</f>
        <v>3.2265905310000023E-2</v>
      </c>
      <c r="AV43" s="1">
        <f>SUM($AT44:AT$67)*(($A44+$A43)/2-$A43)+AV44</f>
        <v>4.8869394059743478E-3</v>
      </c>
      <c r="AW43" s="1">
        <f t="shared" si="3"/>
        <v>2.9109376404913585E-3</v>
      </c>
      <c r="AX43" s="1">
        <f t="shared" si="18"/>
        <v>6.8721382419404077E-3</v>
      </c>
      <c r="AY43" s="1">
        <f t="shared" si="19"/>
        <v>0.39374451749363876</v>
      </c>
      <c r="AZ43" s="1">
        <f t="shared" si="20"/>
        <v>1.6534933809011748E-3</v>
      </c>
    </row>
    <row r="44" spans="1:52">
      <c r="A44" s="1">
        <f>荷重解析!A40</f>
        <v>0.37</v>
      </c>
      <c r="C44" s="1">
        <f>荷重解析!I40</f>
        <v>0.20119999999999999</v>
      </c>
      <c r="E44" s="1">
        <f t="shared" si="4"/>
        <v>4.0481439999999994E-2</v>
      </c>
      <c r="F44" s="1">
        <f>$C$7*荷重解析!$D$1-C44*(荷重解析!$D$1)</f>
        <v>1.1271652307661542E-2</v>
      </c>
      <c r="G44" s="1">
        <f t="shared" si="5"/>
        <v>2.2678564443015022E-3</v>
      </c>
      <c r="H44" s="1">
        <f t="shared" si="6"/>
        <v>12.013652</v>
      </c>
      <c r="I44" s="1">
        <f t="shared" si="7"/>
        <v>10.8245875782828</v>
      </c>
      <c r="J44" s="1">
        <f t="shared" si="8"/>
        <v>7.4443999999999996E-2</v>
      </c>
      <c r="K44" s="1">
        <f t="shared" si="9"/>
        <v>2.7544279999999997E-2</v>
      </c>
      <c r="L44" s="1">
        <f>C44*0.01*一般構造素材物性!$H$22*2</f>
        <v>4.1849600000000001E-2</v>
      </c>
      <c r="M44" s="1">
        <f>一般構造素材物性!$H$34*0.01*主翼細分計算!H44/1000+一般構造素材物性!$H$20*0.005*0.01*2</f>
        <v>5.7375806222222214E-2</v>
      </c>
      <c r="N44" s="1">
        <f>一般構造素材物性!$H$19*0.01*0.015</f>
        <v>1.35E-2</v>
      </c>
      <c r="O44" s="1">
        <f t="shared" si="10"/>
        <v>1.35E-2</v>
      </c>
      <c r="P44" s="1">
        <f>IF(COUNTIF(Python読み込み用データ!$Q$4:$Q$13,主翼細分計算!A44*1000),1,0)</f>
        <v>0</v>
      </c>
      <c r="Q44" s="1">
        <f t="shared" si="11"/>
        <v>1.728025811182222E-5</v>
      </c>
      <c r="R44" s="1">
        <f t="shared" si="12"/>
        <v>5.2600864833328634E-7</v>
      </c>
      <c r="T44" s="1">
        <f>荷重解析!E40*0.01</f>
        <v>1.7216262400000001E-2</v>
      </c>
      <c r="U44" s="1">
        <f>(荷重解析!F40+荷重解析!F41)/2*0.01</f>
        <v>1.0272312E-3</v>
      </c>
      <c r="V44" s="1">
        <f>(荷重解析!G40+荷重解析!G41)/2*0.5*1.293*(荷重解析!C40^2+荷重解析!$B$1^2)*((C45+C44)/2)*0.01*COS(RADIANS(荷重解析!D40))</f>
        <v>7.0641523051039338E-4</v>
      </c>
      <c r="W44" s="1">
        <f t="shared" si="13"/>
        <v>1.7336464305103935E-3</v>
      </c>
      <c r="X44" s="1">
        <f>(荷重解析!H40+荷重解析!H41)/2*0.5*1.293*(荷重解析!C40^2+荷重解析!$B$1^2)*((C45+C44)/2)^2*0.01</f>
        <v>-5.2081060692897065E-4</v>
      </c>
      <c r="Z44" s="1">
        <f>IF(A44=プロパティ!$D$3,T44-プロパティ!$D$8,T44)</f>
        <v>1.7216262400000001E-2</v>
      </c>
      <c r="AA44" s="1">
        <f>SUM(Z45:$Z$91)*(($A45+$A44)/2-$A44)+AA45</f>
        <v>4.5052032055000035E-3</v>
      </c>
      <c r="AB44" s="1">
        <f>AC44*H44/1000/2*一般構造素材物性!$M$7/1000</f>
        <v>2.2500418051896311E-5</v>
      </c>
      <c r="AC44" s="1">
        <f t="shared" si="22"/>
        <v>4.1620091046597668E-4</v>
      </c>
      <c r="AD44" s="1">
        <f t="shared" si="21"/>
        <v>0.3490658503988659</v>
      </c>
      <c r="AE44" s="1">
        <f t="shared" si="14"/>
        <v>20</v>
      </c>
      <c r="AF44" s="1">
        <f t="shared" si="17"/>
        <v>4.1887902047863905E-2</v>
      </c>
      <c r="AG44" s="1">
        <f t="shared" si="2"/>
        <v>41.887902047863903</v>
      </c>
      <c r="AH44" s="1">
        <f t="shared" si="15"/>
        <v>41.887902047863903</v>
      </c>
      <c r="AI44" s="68">
        <f>-2/空力安定性!$G$36*SIN(AD44)^2*C44*PI()*2*0.9</f>
        <v>-1.2380701681950881</v>
      </c>
      <c r="AJ44" s="1">
        <f t="shared" si="16"/>
        <v>-0.14087240742859883</v>
      </c>
      <c r="AK44" s="1">
        <f>-2/空力安定性!$G$36/空力安定性!$G$47*A44*C44*SIN(AD44)</f>
        <v>-0.2368497446487077</v>
      </c>
      <c r="AL44" s="1">
        <f>-4/空力安定性!$G$36/空力安定性!$G$47*A44*SIN(AD44)*COS(AD44)*C44*2*PI()*0.9</f>
        <v>-2.5171616748041297</v>
      </c>
      <c r="AM44" s="1">
        <f>-4/空力安定性!$G$36/空力安定性!$G$47^2*COS(AD44)*(A44*COS(AD44)+AF44*SIN(AD44))*C44*2*PI()*0.9</f>
        <v>-7.2008141104053358</v>
      </c>
      <c r="AN44" s="1">
        <f>-4/空力安定性!$G$36/空力安定性!$G$47^2*C44*COS(AD44)*A44^2</f>
        <v>-0.48154710066717904</v>
      </c>
      <c r="AO44" s="1">
        <f>4/空力安定性!$G$36/空力安定性!$G$47*2*A44*C44*SIN(AD44)*空力安定性!$G$33</f>
        <v>0.68883619686857744</v>
      </c>
      <c r="AP44" s="1">
        <f>4/空力安定性!$G$36/空力安定性!$G$47^2*2*(A44*COS(AD44)+AF44*SIN(AD44))*C44*A44</f>
        <v>1.0027787569499846</v>
      </c>
      <c r="AQ44" s="1">
        <f>8/空力安定性!$G$36/空力安定性!$G$47^2*A44^2*C44*(-空力安定性!$G$32)</f>
        <v>-9.2169233426902003E-2</v>
      </c>
      <c r="AS44" s="1">
        <f>Z44*プロパティ!D$13</f>
        <v>0.10329757440000001</v>
      </c>
      <c r="AT44" s="1">
        <f>W44*プロパティ!$D$13</f>
        <v>1.0401878583062362E-2</v>
      </c>
      <c r="AU44" s="1">
        <f>AA44*プロパティ!D$13</f>
        <v>2.7031219233000021E-2</v>
      </c>
      <c r="AV44" s="1">
        <f>SUM($AT45:AT$67)*(($A45+$A44)/2-$A44)+AV45</f>
        <v>4.1852802689302891E-3</v>
      </c>
      <c r="AW44" s="1">
        <f t="shared" si="3"/>
        <v>2.4972054627958604E-3</v>
      </c>
      <c r="AX44" s="1">
        <f t="shared" si="18"/>
        <v>6.9012476183453212E-3</v>
      </c>
      <c r="AY44" s="1">
        <f t="shared" si="19"/>
        <v>0.39541236190589801</v>
      </c>
      <c r="AZ44" s="1">
        <f t="shared" si="20"/>
        <v>1.7222147633205787E-3</v>
      </c>
    </row>
    <row r="45" spans="1:52">
      <c r="A45" s="1">
        <f>荷重解析!A41</f>
        <v>0.38</v>
      </c>
      <c r="C45" s="1">
        <f>荷重解析!I41</f>
        <v>0.1988</v>
      </c>
      <c r="E45" s="1">
        <f t="shared" si="4"/>
        <v>3.9521440000000005E-2</v>
      </c>
      <c r="F45" s="1">
        <f>$C$7*荷重解析!$D$1-C45*(荷重解析!$D$1)</f>
        <v>1.2210956666633327E-2</v>
      </c>
      <c r="G45" s="1">
        <f t="shared" si="5"/>
        <v>2.4275381853267053E-3</v>
      </c>
      <c r="H45" s="1">
        <f t="shared" si="6"/>
        <v>11.870348</v>
      </c>
      <c r="I45" s="1">
        <f t="shared" si="7"/>
        <v>10.5678871230828</v>
      </c>
      <c r="J45" s="1">
        <f t="shared" si="8"/>
        <v>7.5544E-2</v>
      </c>
      <c r="K45" s="1">
        <f t="shared" si="9"/>
        <v>2.8706720000000002E-2</v>
      </c>
      <c r="L45" s="1">
        <f>C45*0.01*一般構造素材物性!$H$22*2</f>
        <v>4.1350400000000002E-2</v>
      </c>
      <c r="M45" s="1">
        <f>一般構造素材物性!$H$34*0.01*主翼細分計算!H45/1000+一般構造素材物性!$H$20*0.005*0.01*2</f>
        <v>5.6929971555555556E-2</v>
      </c>
      <c r="N45" s="1">
        <f>一般構造素材物性!$H$19*0.01*0.015</f>
        <v>1.35E-2</v>
      </c>
      <c r="O45" s="1">
        <f t="shared" si="10"/>
        <v>1.35E-2</v>
      </c>
      <c r="P45" s="1">
        <f>IF(COUNTIF(Python読み込み用データ!$Q$4:$Q$13,主翼細分計算!A45*1000),1,0)</f>
        <v>0</v>
      </c>
      <c r="Q45" s="1">
        <f t="shared" si="11"/>
        <v>1.8090485652622221E-5</v>
      </c>
      <c r="R45" s="1">
        <f t="shared" si="12"/>
        <v>5.1194877615311352E-7</v>
      </c>
      <c r="T45" s="1">
        <f>荷重解析!E41*0.01</f>
        <v>1.68121281E-2</v>
      </c>
      <c r="U45" s="1">
        <f>(荷重解析!F41+荷重解析!F42)/2*0.01</f>
        <v>1.0342840500000001E-3</v>
      </c>
      <c r="V45" s="1">
        <f>(荷重解析!G41+荷重解析!G42)/2*0.5*1.293*(荷重解析!C41^2+荷重解析!$B$1^2)*((C46+C45)/2)*0.01*COS(RADIANS(荷重解析!D41))</f>
        <v>7.1443801575817424E-4</v>
      </c>
      <c r="W45" s="1">
        <f t="shared" si="13"/>
        <v>1.7487220657581744E-3</v>
      </c>
      <c r="X45" s="1">
        <f>(荷重解析!H41+荷重解析!H42)/2*0.5*1.293*(荷重解析!C41^2+荷重解析!$B$1^2)*((C46+C45)/2)^2*0.01</f>
        <v>-5.0670091151326646E-4</v>
      </c>
      <c r="Z45" s="1">
        <f>IF(A45=プロパティ!$D$3,T45-プロパティ!$D$8,T45)</f>
        <v>1.68121281E-2</v>
      </c>
      <c r="AA45" s="1">
        <f>SUM(Z46:$Z$91)*(($A46+$A45)/2-$A45)+AA46</f>
        <v>3.7188368380000024E-3</v>
      </c>
      <c r="AB45" s="1">
        <f>AC45*H45/1000/2*一般構造素材物性!$M$7/1000</f>
        <v>1.8797276228127445E-5</v>
      </c>
      <c r="AC45" s="1">
        <f t="shared" si="22"/>
        <v>3.5189975012859203E-4</v>
      </c>
      <c r="AD45" s="1">
        <f t="shared" si="21"/>
        <v>0.3490658503988659</v>
      </c>
      <c r="AE45" s="1">
        <f t="shared" si="14"/>
        <v>20</v>
      </c>
      <c r="AF45" s="1">
        <f t="shared" si="17"/>
        <v>4.5378560551852562E-2</v>
      </c>
      <c r="AG45" s="1">
        <f t="shared" si="2"/>
        <v>45.378560551852559</v>
      </c>
      <c r="AH45" s="1">
        <f t="shared" si="15"/>
        <v>45.378560551852559</v>
      </c>
      <c r="AI45" s="68">
        <f>-2/空力安定性!$G$36*SIN(AD45)^2*C45*PI()*2*0.9</f>
        <v>-1.2233019355724826</v>
      </c>
      <c r="AJ45" s="1">
        <f t="shared" si="16"/>
        <v>-0.14326412878763942</v>
      </c>
      <c r="AK45" s="1">
        <f>-2/空力安定性!$G$36/空力安定性!$G$47*A45*C45*SIN(AD45)</f>
        <v>-0.24034948565017969</v>
      </c>
      <c r="AL45" s="1">
        <f>-4/空力安定性!$G$36/空力安定性!$G$47*A45*SIN(AD45)*COS(AD45)*C45*2*PI()*0.9</f>
        <v>-2.5543557783220026</v>
      </c>
      <c r="AM45" s="1">
        <f>-4/空力安定性!$G$36/空力安定性!$G$47^2*COS(AD45)*(A45*COS(AD45)+AF45*SIN(AD45))*C45*2*PI()*0.9</f>
        <v>-7.3230690020814553</v>
      </c>
      <c r="AN45" s="1">
        <f>-4/空力安定性!$G$36/空力安定性!$G$47^2*C45*COS(AD45)*A45^2</f>
        <v>-0.50186963629706516</v>
      </c>
      <c r="AO45" s="1">
        <f>4/空力安定性!$G$36/空力安定性!$G$47*2*A45*C45*SIN(AD45)*空力安定性!$G$33</f>
        <v>0.69901458352909329</v>
      </c>
      <c r="AP45" s="1">
        <f>4/空力安定性!$G$36/空力安定性!$G$47^2*2*(A45*COS(AD45)+AF45*SIN(AD45))*C45*A45</f>
        <v>1.0473661273468637</v>
      </c>
      <c r="AQ45" s="1">
        <f>8/空力安定性!$G$36/空力安定性!$G$47^2*A45^2*C45*(-空力安定性!$G$32)</f>
        <v>-9.6059013944118962E-2</v>
      </c>
      <c r="AS45" s="1">
        <f>Z45*プロパティ!D$13</f>
        <v>0.1008727686</v>
      </c>
      <c r="AT45" s="1">
        <f>W45*プロパティ!$D$13</f>
        <v>1.0492332394549046E-2</v>
      </c>
      <c r="AU45" s="1">
        <f>AA45*プロパティ!D$13</f>
        <v>2.2313021028000014E-2</v>
      </c>
      <c r="AV45" s="1">
        <f>SUM($AT46:AT$67)*(($A46+$A45)/2-$A45)+AV46</f>
        <v>3.5356305248015426E-3</v>
      </c>
      <c r="AW45" s="1">
        <f t="shared" si="3"/>
        <v>2.1113985007715523E-3</v>
      </c>
      <c r="AX45" s="1">
        <f t="shared" si="18"/>
        <v>6.9262196729732795E-3</v>
      </c>
      <c r="AY45" s="1">
        <f t="shared" si="19"/>
        <v>0.39684315524185015</v>
      </c>
      <c r="AZ45" s="1">
        <f t="shared" si="20"/>
        <v>1.7912272395040319E-3</v>
      </c>
    </row>
    <row r="46" spans="1:52">
      <c r="A46" s="1">
        <f>荷重解析!A42</f>
        <v>0.39</v>
      </c>
      <c r="C46" s="1">
        <f>荷重解析!I42</f>
        <v>0.19639999999999999</v>
      </c>
      <c r="E46" s="1">
        <f t="shared" si="4"/>
        <v>3.8572959999999996E-2</v>
      </c>
      <c r="F46" s="1">
        <f>$C$7*荷重解析!$D$1-C46*(荷重解析!$D$1)</f>
        <v>1.3150261025605126E-2</v>
      </c>
      <c r="G46" s="1">
        <f t="shared" si="5"/>
        <v>2.5827112654288466E-3</v>
      </c>
      <c r="H46" s="1">
        <f t="shared" si="6"/>
        <v>11.727043999999999</v>
      </c>
      <c r="I46" s="1">
        <f t="shared" si="7"/>
        <v>10.314267073345198</v>
      </c>
      <c r="J46" s="1">
        <f t="shared" si="8"/>
        <v>7.6595999999999997E-2</v>
      </c>
      <c r="K46" s="1">
        <f t="shared" si="9"/>
        <v>2.987244E-2</v>
      </c>
      <c r="L46" s="1">
        <f>C46*0.01*一般構造素材物性!$H$22*2</f>
        <v>4.0851200000000004E-2</v>
      </c>
      <c r="M46" s="1">
        <f>一般構造素材物性!$H$34*0.01*主翼細分計算!H46/1000+一般構造素材物性!$H$20*0.005*0.01*2</f>
        <v>5.6484136888888883E-2</v>
      </c>
      <c r="N46" s="1">
        <f>一般構造素材物性!$H$19*0.01*0.015</f>
        <v>1.35E-2</v>
      </c>
      <c r="O46" s="1">
        <f t="shared" si="10"/>
        <v>1.35E-2</v>
      </c>
      <c r="P46" s="1">
        <f>IF(COUNTIF(Python読み込み用データ!$Q$4:$Q$13,主翼細分計算!A46*1000),1,0)</f>
        <v>0</v>
      </c>
      <c r="Q46" s="1">
        <f t="shared" si="11"/>
        <v>1.89114047408E-5</v>
      </c>
      <c r="R46" s="1">
        <f t="shared" si="12"/>
        <v>4.9811470855646712E-7</v>
      </c>
      <c r="T46" s="1">
        <f>荷重解析!E42*0.01</f>
        <v>1.6376974500000002E-2</v>
      </c>
      <c r="U46" s="1">
        <f>(荷重解析!F42+荷重解析!F43)/2*0.01</f>
        <v>1.04308815E-3</v>
      </c>
      <c r="V46" s="1">
        <f>(荷重解析!G42+荷重解析!G43)/2*0.5*1.293*(荷重解析!C42^2+荷重解析!$B$1^2)*((C47+C46)/2)*0.01*COS(RADIANS(荷重解析!D42))</f>
        <v>7.24011800989799E-4</v>
      </c>
      <c r="W46" s="1">
        <f t="shared" si="13"/>
        <v>1.7670999509897989E-3</v>
      </c>
      <c r="X46" s="1">
        <f>(荷重解析!H42+荷重解析!H43)/2*0.5*1.293*(荷重解析!C42^2+荷重解析!$B$1^2)*((C47+C46)/2)^2*0.01</f>
        <v>-4.9294097197224356E-4</v>
      </c>
      <c r="Z46" s="1">
        <f>IF(A46=プロパティ!$D$3,T46-プロパティ!$D$8,T46)</f>
        <v>1.6376974500000002E-2</v>
      </c>
      <c r="AA46" s="1">
        <f>SUM(Z47:$Z$91)*(($A47+$A46)/2-$A46)+AA47</f>
        <v>3.0165311110000015E-3</v>
      </c>
      <c r="AB46" s="1">
        <f>AC46*H46/1000/2*一般構造素材物性!$M$7/1000</f>
        <v>1.5433716003794319E-5</v>
      </c>
      <c r="AC46" s="1">
        <f t="shared" si="22"/>
        <v>2.9246199362003319E-4</v>
      </c>
      <c r="AD46" s="1">
        <f t="shared" si="21"/>
        <v>0.3490658503988659</v>
      </c>
      <c r="AE46" s="1">
        <f t="shared" si="14"/>
        <v>20</v>
      </c>
      <c r="AF46" s="1">
        <f t="shared" si="17"/>
        <v>4.8869219055841219E-2</v>
      </c>
      <c r="AG46" s="1">
        <f t="shared" si="2"/>
        <v>48.869219055841221</v>
      </c>
      <c r="AH46" s="1">
        <f t="shared" si="15"/>
        <v>48.869219055841221</v>
      </c>
      <c r="AI46" s="68">
        <f>-2/空力安定性!$G$36*SIN(AD46)^2*C46*PI()*2*0.9</f>
        <v>-1.2085337029498771</v>
      </c>
      <c r="AJ46" s="1">
        <f t="shared" si="16"/>
        <v>-0.14555752963330937</v>
      </c>
      <c r="AK46" s="1">
        <f>-2/空力安定性!$G$36/空力安定性!$G$47*A46*C46*SIN(AD46)</f>
        <v>-0.2436965106806783</v>
      </c>
      <c r="AL46" s="1">
        <f>-4/空力安定性!$G$36/空力安定性!$G$47*A46*SIN(AD46)*COS(AD46)*C46*2*PI()*0.9</f>
        <v>-2.5899268664136414</v>
      </c>
      <c r="AM46" s="1">
        <f>-4/空力安定性!$G$36/空力安定性!$G$47^2*COS(AD46)*(A46*COS(AD46)+AF46*SIN(AD46))*C46*2*PI()*0.9</f>
        <v>-7.4402981562625952</v>
      </c>
      <c r="AN46" s="1">
        <f>-4/空力安定性!$G$36/空力安定性!$G$47^2*C46*COS(AD46)*A46^2</f>
        <v>-0.52224951503013584</v>
      </c>
      <c r="AO46" s="1">
        <f>4/空力安定性!$G$36/空力安定性!$G$47*2*A46*C46*SIN(AD46)*空力安定性!$G$33</f>
        <v>0.70874882240805914</v>
      </c>
      <c r="AP46" s="1">
        <f>4/空力安定性!$G$36/空力安定性!$G$47^2*2*(A46*COS(AD46)+AF46*SIN(AD46))*C46*A46</f>
        <v>1.0921360627146643</v>
      </c>
      <c r="AQ46" s="1">
        <f>8/空力安定性!$G$36/空力安定性!$G$47^2*A46^2*C46*(-空力安定性!$G$32)</f>
        <v>-9.9959770064460746E-2</v>
      </c>
      <c r="AS46" s="1">
        <f>Z46*プロパティ!D$13</f>
        <v>9.8261847000000013E-2</v>
      </c>
      <c r="AT46" s="1">
        <f>W46*プロパティ!$D$13</f>
        <v>1.0602599705938794E-2</v>
      </c>
      <c r="AU46" s="1">
        <f>AA46*プロパティ!D$13</f>
        <v>1.8099186666000008E-2</v>
      </c>
      <c r="AV46" s="1">
        <f>SUM($AT47:AT$67)*(($A47+$A46)/2-$A46)+AV47</f>
        <v>2.9384424426455412E-3</v>
      </c>
      <c r="AW46" s="1">
        <f t="shared" si="3"/>
        <v>1.7547719617201989E-3</v>
      </c>
      <c r="AX46" s="1">
        <f t="shared" si="18"/>
        <v>6.9473336579809952E-3</v>
      </c>
      <c r="AY46" s="1">
        <f t="shared" si="19"/>
        <v>0.3980528974714948</v>
      </c>
      <c r="AZ46" s="1">
        <f t="shared" si="20"/>
        <v>1.8604894362337647E-3</v>
      </c>
    </row>
    <row r="47" spans="1:52">
      <c r="A47" s="1">
        <f>荷重解析!A43</f>
        <v>0.4</v>
      </c>
      <c r="C47" s="1">
        <f>荷重解析!I43</f>
        <v>0.19400000000000001</v>
      </c>
      <c r="E47" s="1">
        <f t="shared" si="4"/>
        <v>3.7636000000000003E-2</v>
      </c>
      <c r="F47" s="1">
        <f>$C$7*荷重解析!$D$1-C47*(荷重解析!$D$1)</f>
        <v>1.4089565384576924E-2</v>
      </c>
      <c r="G47" s="1">
        <f t="shared" si="5"/>
        <v>2.7333756846079234E-3</v>
      </c>
      <c r="H47" s="1">
        <f t="shared" si="6"/>
        <v>11.583740000000001</v>
      </c>
      <c r="I47" s="1">
        <f t="shared" si="7"/>
        <v>10.063727429070003</v>
      </c>
      <c r="J47" s="1">
        <f t="shared" si="8"/>
        <v>7.7600000000000002E-2</v>
      </c>
      <c r="K47" s="1">
        <f t="shared" si="9"/>
        <v>3.1040000000000002E-2</v>
      </c>
      <c r="L47" s="1">
        <f>C47*0.01*一般構造素材物性!$H$22*2</f>
        <v>4.0352000000000006E-2</v>
      </c>
      <c r="M47" s="1">
        <f>一般構造素材物性!$H$34*0.01*主翼細分計算!H47/1000+一般構造素材物性!$H$20*0.005*0.01*2</f>
        <v>5.6038302222222225E-2</v>
      </c>
      <c r="N47" s="1">
        <f>一般構造素材物性!$H$19*0.01*0.015</f>
        <v>1.35E-2</v>
      </c>
      <c r="O47" s="1">
        <f t="shared" si="10"/>
        <v>1.35E-2</v>
      </c>
      <c r="P47" s="1">
        <f>IF(COUNTIF(Python読み込み用データ!$Q$4:$Q$13,主翼細分計算!A47*1000),1,0)</f>
        <v>1</v>
      </c>
      <c r="Q47" s="1">
        <f t="shared" si="11"/>
        <v>1.7974244835555558E-4</v>
      </c>
      <c r="R47" s="1">
        <f t="shared" si="12"/>
        <v>4.8450505881919998E-7</v>
      </c>
      <c r="T47" s="1">
        <f>荷重解析!E43*0.01</f>
        <v>1.5905352800000001E-2</v>
      </c>
      <c r="U47" s="1">
        <f>(荷重解析!F43+荷重解析!F44)/2*0.01</f>
        <v>1.053612E-3</v>
      </c>
      <c r="V47" s="1">
        <f>(荷重解析!G43+荷重解析!G44)/2*0.5*1.293*(荷重解析!C43^2+荷重解析!$B$1^2)*((C48+C47)/2)*0.01*COS(RADIANS(荷重解析!D43))</f>
        <v>7.3412120932720088E-4</v>
      </c>
      <c r="W47" s="1">
        <f t="shared" si="13"/>
        <v>1.7877332093272009E-3</v>
      </c>
      <c r="X47" s="1">
        <f>(荷重解析!H43+荷重解析!H44)/2*0.5*1.293*(荷重解析!C43^2+荷重解析!$B$1^2)*((C48+C47)/2)^2*0.01</f>
        <v>-4.7695143139660695E-4</v>
      </c>
      <c r="Z47" s="1">
        <f>IF(A47=プロパティ!$D$3,T47-プロパティ!$D$8,T47)</f>
        <v>1.5905352800000001E-2</v>
      </c>
      <c r="AA47" s="1">
        <f>SUM(Z48:$Z$91)*(($A48+$A47)/2-$A47)+AA48</f>
        <v>2.3961102565000008E-3</v>
      </c>
      <c r="AB47" s="1">
        <f>AC47*H47/1000/2*一般構造素材物性!$M$7/1000</f>
        <v>1.2411070637807825E-5</v>
      </c>
      <c r="AC47" s="1">
        <f t="shared" si="22"/>
        <v>2.3809371561262836E-4</v>
      </c>
      <c r="AD47" s="1">
        <f t="shared" si="21"/>
        <v>0.3490658503988659</v>
      </c>
      <c r="AE47" s="1">
        <f t="shared" si="14"/>
        <v>20</v>
      </c>
      <c r="AF47" s="1">
        <f t="shared" si="17"/>
        <v>5.2359877559829876E-2</v>
      </c>
      <c r="AG47" s="1">
        <f t="shared" si="2"/>
        <v>52.359877559829876</v>
      </c>
      <c r="AH47" s="1">
        <f t="shared" si="15"/>
        <v>52.359877559829876</v>
      </c>
      <c r="AI47" s="68">
        <f>-2/空力安定性!$G$36*SIN(AD47)^2*C47*PI()*2*0.9</f>
        <v>-1.1937654703272718</v>
      </c>
      <c r="AJ47" s="1">
        <f t="shared" si="16"/>
        <v>-0.14775260996560877</v>
      </c>
      <c r="AK47" s="1">
        <f>-2/空力安定性!$G$36/空力安定性!$G$47*A47*C47*SIN(AD47)</f>
        <v>-0.24689081974020363</v>
      </c>
      <c r="AL47" s="1">
        <f>-4/空力安定性!$G$36/空力安定性!$G$47*A47*SIN(AD47)*COS(AD47)*C47*2*PI()*0.9</f>
        <v>-2.6238749390790455</v>
      </c>
      <c r="AM47" s="1">
        <f>-4/空力安定性!$G$36/空力安定性!$G$47^2*COS(AD47)*(A47*COS(AD47)+AF47*SIN(AD47))*C47*2*PI()*0.9</f>
        <v>-7.5525015729487626</v>
      </c>
      <c r="AN47" s="1">
        <f>-4/空力安定性!$G$36/空力安定性!$G$47^2*C47*COS(AD47)*A47^2</f>
        <v>-0.54266156184548098</v>
      </c>
      <c r="AO47" s="1">
        <f>4/空力安定性!$G$36/空力安定性!$G$47*2*A47*C47*SIN(AD47)*空力安定性!$G$33</f>
        <v>0.71803891350547544</v>
      </c>
      <c r="AP47" s="1">
        <f>4/空力安定性!$G$36/空力安定性!$G$47^2*2*(A47*COS(AD47)+AF47*SIN(AD47))*C47*A47</f>
        <v>1.1370318160599342</v>
      </c>
      <c r="AQ47" s="1">
        <f>8/空力安定性!$G$36/空力安定性!$G$47^2*A47^2*C47*(-空力安定性!$G$32)</f>
        <v>-0.103866683230458</v>
      </c>
      <c r="AS47" s="1">
        <f>Z47*プロパティ!D$13</f>
        <v>9.5432116800000008E-2</v>
      </c>
      <c r="AT47" s="1">
        <f>W47*プロパティ!$D$13</f>
        <v>1.0726399255963205E-2</v>
      </c>
      <c r="AU47" s="1">
        <f>AA47*プロパティ!D$13</f>
        <v>1.4376661539000005E-2</v>
      </c>
      <c r="AV47" s="1">
        <f>SUM($AT48:AT$67)*(($A48+$A47)/2-$A47)+AV48</f>
        <v>2.3942673590192339E-3</v>
      </c>
      <c r="AW47" s="1">
        <f t="shared" si="3"/>
        <v>1.4285622936757701E-3</v>
      </c>
      <c r="AX47" s="1">
        <f t="shared" si="18"/>
        <v>6.9648813775981975E-3</v>
      </c>
      <c r="AY47" s="1">
        <f t="shared" si="19"/>
        <v>0.39905830774563938</v>
      </c>
      <c r="AZ47" s="1">
        <f t="shared" si="20"/>
        <v>1.9299627728135748E-3</v>
      </c>
    </row>
    <row r="48" spans="1:52">
      <c r="A48" s="1">
        <f>荷重解析!A44</f>
        <v>0.41</v>
      </c>
      <c r="C48" s="1">
        <f>荷重解析!I44</f>
        <v>0.19159999999999999</v>
      </c>
      <c r="E48" s="1">
        <f t="shared" si="4"/>
        <v>3.6710559999999996E-2</v>
      </c>
      <c r="F48" s="1">
        <f>$C$7*荷重解析!$D$1-C48*(荷重解析!$D$1)</f>
        <v>1.5028869743548723E-2</v>
      </c>
      <c r="G48" s="1">
        <f t="shared" si="5"/>
        <v>2.879531442863935E-3</v>
      </c>
      <c r="H48" s="1">
        <f t="shared" si="6"/>
        <v>11.440436</v>
      </c>
      <c r="I48" s="1">
        <f t="shared" si="7"/>
        <v>9.8162681902572029</v>
      </c>
      <c r="J48" s="1">
        <f t="shared" si="8"/>
        <v>7.8555999999999987E-2</v>
      </c>
      <c r="K48" s="1">
        <f t="shared" si="9"/>
        <v>3.2207959999999994E-2</v>
      </c>
      <c r="L48" s="1">
        <f>C48*0.01*一般構造素材物性!$H$22*2</f>
        <v>3.9852800000000001E-2</v>
      </c>
      <c r="M48" s="1">
        <f>一般構造素材物性!$H$34*0.01*主翼細分計算!H48/1000+一般構造素材物性!$H$20*0.005*0.01*2</f>
        <v>5.5592467555555553E-2</v>
      </c>
      <c r="N48" s="1">
        <f>一般構造素材物性!$H$19*0.01*0.015</f>
        <v>1.35E-2</v>
      </c>
      <c r="O48" s="1">
        <f t="shared" si="10"/>
        <v>1.35E-2</v>
      </c>
      <c r="P48" s="1">
        <f>IF(COUNTIF(Python読み込み用データ!$Q$4:$Q$13,主翼細分計算!A48*1000),1,0)</f>
        <v>0</v>
      </c>
      <c r="Q48" s="1">
        <f t="shared" si="11"/>
        <v>2.0583049476088881E-5</v>
      </c>
      <c r="R48" s="1">
        <f t="shared" si="12"/>
        <v>4.7111844021716475E-7</v>
      </c>
      <c r="T48" s="1">
        <f>荷重解析!E44*0.01</f>
        <v>1.53899146E-2</v>
      </c>
      <c r="U48" s="1">
        <f>(荷重解析!F44+荷重解析!F45)/2*0.01</f>
        <v>1.0657132000000001E-3</v>
      </c>
      <c r="V48" s="1">
        <f>(荷重解析!G44+荷重解析!G45)/2*0.5*1.293*(荷重解析!C44^2+荷重解析!$B$1^2)*((C49+C48)/2)*0.01*COS(RADIANS(荷重解析!D44))</f>
        <v>7.4566292456263307E-4</v>
      </c>
      <c r="W48" s="1">
        <f t="shared" si="13"/>
        <v>1.8113761245626332E-3</v>
      </c>
      <c r="X48" s="1">
        <f>(荷重解析!H44+荷重解析!H45)/2*0.5*1.293*(荷重解析!C44^2+荷重解析!$B$1^2)*((C49+C48)/2)^2*0.01</f>
        <v>-4.5675684201967859E-4</v>
      </c>
      <c r="Z48" s="1">
        <f>IF(A48=プロパティ!$D$3,T48-プロパティ!$D$8,T48)</f>
        <v>1.53899146E-2</v>
      </c>
      <c r="AA48" s="1">
        <f>SUM(Z49:$Z$91)*(($A49+$A48)/2-$A48)+AA49</f>
        <v>1.8552161660000002E-3</v>
      </c>
      <c r="AB48" s="1">
        <f>AC48*H48/1000/2*一般構造素材物性!$M$7/1000</f>
        <v>9.7297838963480031E-6</v>
      </c>
      <c r="AC48" s="1">
        <f t="shared" si="22"/>
        <v>1.8899403826816088E-4</v>
      </c>
      <c r="AD48" s="1">
        <f t="shared" si="21"/>
        <v>0.3490658503988659</v>
      </c>
      <c r="AE48" s="1">
        <f t="shared" si="14"/>
        <v>20</v>
      </c>
      <c r="AF48" s="1">
        <f t="shared" si="17"/>
        <v>5.5850536063818533E-2</v>
      </c>
      <c r="AG48" s="1">
        <f t="shared" si="2"/>
        <v>55.850536063818531</v>
      </c>
      <c r="AH48" s="1">
        <f t="shared" si="15"/>
        <v>55.850536063818531</v>
      </c>
      <c r="AI48" s="68">
        <f>-2/空力安定性!$G$36*SIN(AD48)^2*C48*PI()*2*0.9</f>
        <v>-1.1789972377046662</v>
      </c>
      <c r="AJ48" s="1">
        <f t="shared" si="16"/>
        <v>-0.14984936978453753</v>
      </c>
      <c r="AK48" s="1">
        <f>-2/空力安定性!$G$36/空力安定性!$G$47*A48*C48*SIN(AD48)</f>
        <v>-0.24993241282875558</v>
      </c>
      <c r="AL48" s="1">
        <f>-4/空力安定性!$G$36/空力安定性!$G$47*A48*SIN(AD48)*COS(AD48)*C48*2*PI()*0.9</f>
        <v>-2.6561999963182146</v>
      </c>
      <c r="AM48" s="1">
        <f>-4/空力安定性!$G$36/空力安定性!$G$47^2*COS(AD48)*(A48*COS(AD48)+AF48*SIN(AD48))*C48*2*PI()*0.9</f>
        <v>-7.6596792521399557</v>
      </c>
      <c r="AN48" s="1">
        <f>-4/空力安定性!$G$36/空力安定性!$G$47^2*C48*COS(AD48)*A48^2</f>
        <v>-0.56308060172218966</v>
      </c>
      <c r="AO48" s="1">
        <f>4/空力安定性!$G$36/空力安定性!$G$47*2*A48*C48*SIN(AD48)*空力安定性!$G$33</f>
        <v>0.72688485682134174</v>
      </c>
      <c r="AP48" s="1">
        <f>4/空力安定性!$G$36/空力安定性!$G$47^2*2*(A48*COS(AD48)+AF48*SIN(AD48))*C48*A48</f>
        <v>1.1819966403892179</v>
      </c>
      <c r="AQ48" s="1">
        <f>8/空力安定性!$G$36/空力安定性!$G$47^2*A48^2*C48*(-空力安定性!$G$32)</f>
        <v>-0.10777493488464111</v>
      </c>
      <c r="AS48" s="1">
        <f>Z48*プロパティ!D$13</f>
        <v>9.2339487600000006E-2</v>
      </c>
      <c r="AT48" s="1">
        <f>W48*プロパティ!$D$13</f>
        <v>1.08682567473758E-2</v>
      </c>
      <c r="AU48" s="1">
        <f>AA48*プロパティ!D$13</f>
        <v>1.1131296996000002E-2</v>
      </c>
      <c r="AV48" s="1">
        <f>SUM($AT49:AT$67)*(($A49+$A48)/2-$A48)+AV49</f>
        <v>1.9037242716727425E-3</v>
      </c>
      <c r="AW48" s="1">
        <f t="shared" si="3"/>
        <v>1.1339642296089654E-3</v>
      </c>
      <c r="AX48" s="1">
        <f t="shared" si="18"/>
        <v>6.9791670005349554E-3</v>
      </c>
      <c r="AY48" s="1">
        <f t="shared" si="19"/>
        <v>0.39987681364763089</v>
      </c>
      <c r="AZ48" s="1">
        <f t="shared" si="20"/>
        <v>1.9996115865895565E-3</v>
      </c>
    </row>
    <row r="49" spans="1:52">
      <c r="A49" s="1">
        <f>荷重解析!A45</f>
        <v>0.42</v>
      </c>
      <c r="C49" s="1">
        <f>荷重解析!I45</f>
        <v>0.18920000000000001</v>
      </c>
      <c r="E49" s="1">
        <f t="shared" si="4"/>
        <v>3.5796640000000005E-2</v>
      </c>
      <c r="F49" s="1">
        <f>$C$7*荷重解析!$D$1-C49*(荷重解析!$D$1)</f>
        <v>1.5968174102520508E-2</v>
      </c>
      <c r="G49" s="1">
        <f t="shared" si="5"/>
        <v>3.0211785401968801E-3</v>
      </c>
      <c r="H49" s="1">
        <f t="shared" si="6"/>
        <v>11.297132</v>
      </c>
      <c r="I49" s="1">
        <f t="shared" si="7"/>
        <v>9.5718893569067998</v>
      </c>
      <c r="J49" s="1">
        <f t="shared" si="8"/>
        <v>7.9464000000000007E-2</v>
      </c>
      <c r="K49" s="1">
        <f t="shared" si="9"/>
        <v>3.3374880000000003E-2</v>
      </c>
      <c r="L49" s="1">
        <f>C49*0.01*一般構造素材物性!$H$22*2</f>
        <v>3.9353600000000002E-2</v>
      </c>
      <c r="M49" s="1">
        <f>一般構造素材物性!$H$34*0.01*主翼細分計算!H49/1000+一般構造素材物性!$H$20*0.005*0.01*2</f>
        <v>5.514663288888888E-2</v>
      </c>
      <c r="N49" s="1">
        <f>一般構造素材物性!$H$19*0.01*0.015</f>
        <v>1.35E-2</v>
      </c>
      <c r="O49" s="1">
        <f t="shared" si="10"/>
        <v>1.35E-2</v>
      </c>
      <c r="P49" s="1">
        <f>IF(COUNTIF(Python読み込み用データ!$Q$4:$Q$13,主翼細分計算!A49*1000),1,0)</f>
        <v>0</v>
      </c>
      <c r="Q49" s="1">
        <f t="shared" si="11"/>
        <v>2.1432641081599994E-5</v>
      </c>
      <c r="R49" s="1">
        <f t="shared" si="12"/>
        <v>4.5795346602621431E-7</v>
      </c>
      <c r="T49" s="1">
        <f>荷重解析!E45*0.01</f>
        <v>1.4821225700000001E-2</v>
      </c>
      <c r="U49" s="1">
        <f>(荷重解析!F45+荷重解析!F46)/2*0.01</f>
        <v>1.0790544E-3</v>
      </c>
      <c r="V49" s="1">
        <f>(荷重解析!G45+荷重解析!G46)/2*0.5*1.293*(荷重解析!C45^2+荷重解析!$B$1^2)*((C50+C49)/2)*0.01*COS(RADIANS(荷重解析!D45))</f>
        <v>7.6099189620169926E-4</v>
      </c>
      <c r="W49" s="1">
        <f t="shared" si="13"/>
        <v>1.8400462962016991E-3</v>
      </c>
      <c r="X49" s="1">
        <f>(荷重解析!H45+荷重解析!H46)/2*0.5*1.293*(荷重解析!C45^2+荷重解析!$B$1^2)*((C50+C49)/2)^2*0.01</f>
        <v>-4.358312854033994E-4</v>
      </c>
      <c r="Z49" s="1">
        <f>IF(A49=プロパティ!$D$3,T49-プロパティ!$D$8,T49)</f>
        <v>1.4821225700000001E-2</v>
      </c>
      <c r="AA49" s="1">
        <f>SUM(Z50:$Z$91)*(($A50+$A49)/2-$A49)+AA50</f>
        <v>1.3912716484999999E-3</v>
      </c>
      <c r="AB49" s="1">
        <f>AC49*H49/1000/2*一般構造素材物性!$M$7/1000</f>
        <v>7.3891584970415495E-6</v>
      </c>
      <c r="AC49" s="1">
        <f t="shared" si="22"/>
        <v>1.4534974200219921E-4</v>
      </c>
      <c r="AD49" s="1">
        <f t="shared" si="21"/>
        <v>0.3490658503988659</v>
      </c>
      <c r="AE49" s="1">
        <f t="shared" si="14"/>
        <v>20</v>
      </c>
      <c r="AF49" s="1">
        <f t="shared" si="17"/>
        <v>5.934119456780719E-2</v>
      </c>
      <c r="AG49" s="1">
        <f t="shared" si="2"/>
        <v>59.341194567807193</v>
      </c>
      <c r="AH49" s="1">
        <f t="shared" si="15"/>
        <v>59.341194567807193</v>
      </c>
      <c r="AI49" s="68">
        <f>-2/空力安定性!$G$36*SIN(AD49)^2*C49*PI()*2*0.9</f>
        <v>-1.164229005082061</v>
      </c>
      <c r="AJ49" s="1">
        <f t="shared" si="16"/>
        <v>-0.15184780909009571</v>
      </c>
      <c r="AK49" s="1">
        <f>-2/空力安定性!$G$36/空力安定性!$G$47*A49*C49*SIN(AD49)</f>
        <v>-0.25282128994633424</v>
      </c>
      <c r="AL49" s="1">
        <f>-4/空力安定性!$G$36/空力安定性!$G$47*A49*SIN(AD49)*COS(AD49)*C49*2*PI()*0.9</f>
        <v>-2.6869020381311506</v>
      </c>
      <c r="AM49" s="1">
        <f>-4/空力安定性!$G$36/空力安定性!$G$47^2*COS(AD49)*(A49*COS(AD49)+AF49*SIN(AD49))*C49*2*PI()*0.9</f>
        <v>-7.7618311938361719</v>
      </c>
      <c r="AN49" s="1">
        <f>-4/空力安定性!$G$36/空力安定性!$G$47^2*C49*COS(AD49)*A49^2</f>
        <v>-0.58348145963935238</v>
      </c>
      <c r="AO49" s="1">
        <f>4/空力安定性!$G$36/空力安定性!$G$47*2*A49*C49*SIN(AD49)*空力安定性!$G$33</f>
        <v>0.73528665235565838</v>
      </c>
      <c r="AP49" s="1">
        <f>4/空力安定性!$G$36/空力安定性!$G$47^2*2*(A49*COS(AD49)+AF49*SIN(AD49))*C49*A49</f>
        <v>1.2269737887090626</v>
      </c>
      <c r="AQ49" s="1">
        <f>8/空力安定性!$G$36/空力安定性!$G$47^2*A49^2*C49*(-空力安定性!$G$32)</f>
        <v>-0.1116797064695408</v>
      </c>
      <c r="AS49" s="1">
        <f>Z49*プロパティ!D$13</f>
        <v>8.8927354200000003E-2</v>
      </c>
      <c r="AT49" s="1">
        <f>W49*プロパティ!$D$13</f>
        <v>1.1040277777210195E-2</v>
      </c>
      <c r="AU49" s="1">
        <f>AA49*プロパティ!D$13</f>
        <v>8.347629891E-3</v>
      </c>
      <c r="AV49" s="1">
        <f>SUM($AT50:AT$67)*(($A50+$A49)/2-$A49)+AV50</f>
        <v>1.4675224680631301E-3</v>
      </c>
      <c r="AW49" s="1">
        <f t="shared" si="3"/>
        <v>8.720984520131954E-4</v>
      </c>
      <c r="AX49" s="1">
        <f t="shared" si="18"/>
        <v>6.990506642831045E-3</v>
      </c>
      <c r="AY49" s="1">
        <f t="shared" si="19"/>
        <v>0.40052652729238486</v>
      </c>
      <c r="AZ49" s="1">
        <f t="shared" si="20"/>
        <v>2.069403256594906E-3</v>
      </c>
    </row>
    <row r="50" spans="1:52">
      <c r="A50" s="1">
        <f>荷重解析!A46</f>
        <v>0.43</v>
      </c>
      <c r="C50" s="1">
        <f>荷重解析!I46</f>
        <v>0.18679999999999999</v>
      </c>
      <c r="E50" s="1">
        <f t="shared" si="4"/>
        <v>3.489424E-2</v>
      </c>
      <c r="F50" s="1">
        <f>$C$7*荷重解析!$D$1-C50*(荷重解析!$D$1)</f>
        <v>1.6907478461492306E-2</v>
      </c>
      <c r="G50" s="1">
        <f t="shared" si="5"/>
        <v>3.1583169766067629E-3</v>
      </c>
      <c r="H50" s="1">
        <f t="shared" si="6"/>
        <v>11.153827999999999</v>
      </c>
      <c r="I50" s="1">
        <f t="shared" si="7"/>
        <v>9.3305909290188005</v>
      </c>
      <c r="J50" s="1">
        <f t="shared" si="8"/>
        <v>8.0323999999999993E-2</v>
      </c>
      <c r="K50" s="1">
        <f t="shared" si="9"/>
        <v>3.4539319999999998E-2</v>
      </c>
      <c r="L50" s="1">
        <f>C50*0.01*一般構造素材物性!$H$22*2</f>
        <v>3.8854399999999997E-2</v>
      </c>
      <c r="M50" s="1">
        <f>一般構造素材物性!$H$34*0.01*主翼細分計算!H50/1000+一般構造素材物性!$H$20*0.005*0.01*2</f>
        <v>5.4700798222222208E-2</v>
      </c>
      <c r="N50" s="1">
        <f>一般構造素材物性!$H$19*0.01*0.015</f>
        <v>1.35E-2</v>
      </c>
      <c r="O50" s="1">
        <f t="shared" si="10"/>
        <v>1.35E-2</v>
      </c>
      <c r="P50" s="1">
        <f>IF(COUNTIF(Python読み込み用データ!$Q$4:$Q$13,主翼細分計算!A50*1000),1,0)</f>
        <v>0</v>
      </c>
      <c r="Q50" s="1">
        <f t="shared" si="11"/>
        <v>2.2290656151288883E-5</v>
      </c>
      <c r="R50" s="1">
        <f t="shared" si="12"/>
        <v>4.4500874952220148E-7</v>
      </c>
      <c r="T50" s="1">
        <f>荷重解析!E46*0.01</f>
        <v>1.4185683099999999E-2</v>
      </c>
      <c r="U50" s="1">
        <f>(荷重解析!F46+荷重解析!F47)/2*0.01</f>
        <v>1.08952625E-3</v>
      </c>
      <c r="V50" s="1">
        <f>(荷重解析!G46+荷重解析!G47)/2*0.5*1.293*(荷重解析!C46^2+荷重解析!$B$1^2)*((C51+C50)/2)*0.01*COS(RADIANS(荷重解析!D46))</f>
        <v>7.7563028802981931E-4</v>
      </c>
      <c r="W50" s="1">
        <f t="shared" si="13"/>
        <v>1.8651565380298192E-3</v>
      </c>
      <c r="X50" s="1">
        <f>(荷重解析!H46+荷重解析!H47)/2*0.5*1.293*(荷重解析!C46^2+荷重解析!$B$1^2)*((C51+C50)/2)^2*0.01</f>
        <v>-4.0539718666731436E-4</v>
      </c>
      <c r="Z50" s="1">
        <f>IF(A50=プロパティ!$D$3,T50-プロパティ!$D$8,T50)</f>
        <v>1.4185683099999999E-2</v>
      </c>
      <c r="AA50" s="1">
        <f>SUM(Z51:$Z$91)*(($A51+$A50)/2-$A50)+AA51</f>
        <v>1.0014332594999995E-3</v>
      </c>
      <c r="AB50" s="1">
        <f>AC50*H50/1000/2*一般構造素材物性!$M$7/1000</f>
        <v>5.3870290603369508E-6</v>
      </c>
      <c r="AC50" s="1">
        <f t="shared" si="22"/>
        <v>1.0732795673052935E-4</v>
      </c>
      <c r="AD50" s="1">
        <f t="shared" si="21"/>
        <v>0.3490658503988659</v>
      </c>
      <c r="AE50" s="1">
        <f t="shared" si="14"/>
        <v>20</v>
      </c>
      <c r="AF50" s="1">
        <f t="shared" si="17"/>
        <v>6.2831853071795854E-2</v>
      </c>
      <c r="AG50" s="1">
        <f t="shared" si="2"/>
        <v>62.831853071795855</v>
      </c>
      <c r="AH50" s="1">
        <f t="shared" si="15"/>
        <v>62.831853071795855</v>
      </c>
      <c r="AI50" s="68">
        <f>-2/空力安定性!$G$36*SIN(AD50)^2*C50*PI()*2*0.9</f>
        <v>-1.1494607724594554</v>
      </c>
      <c r="AJ50" s="1">
        <f t="shared" si="16"/>
        <v>-0.15374792788228331</v>
      </c>
      <c r="AK50" s="1">
        <f>-2/空力安定性!$G$36/空力安定性!$G$47*A50*C50*SIN(AD50)</f>
        <v>-0.25555745109293959</v>
      </c>
      <c r="AL50" s="1">
        <f>-4/空力安定性!$G$36/空力安定性!$G$47*A50*SIN(AD50)*COS(AD50)*C50*2*PI()*0.9</f>
        <v>-2.7159810645178513</v>
      </c>
      <c r="AM50" s="1">
        <f>-4/空力安定性!$G$36/空力安定性!$G$47^2*COS(AD50)*(A50*COS(AD50)+AF50*SIN(AD50))*C50*2*PI()*0.9</f>
        <v>-7.8589573980374157</v>
      </c>
      <c r="AN50" s="1">
        <f>-4/空力安定性!$G$36/空力安定性!$G$47^2*C50*COS(AD50)*A50^2</f>
        <v>-0.60383896057605824</v>
      </c>
      <c r="AO50" s="1">
        <f>4/空力安定性!$G$36/空力安定性!$G$47*2*A50*C50*SIN(AD50)*空力安定性!$G$33</f>
        <v>0.74324430010842524</v>
      </c>
      <c r="AP50" s="1">
        <f>4/空力安定性!$G$36/空力安定性!$G$47^2*2*(A50*COS(AD50)+AF50*SIN(AD50))*C50*A50</f>
        <v>1.2719065140260137</v>
      </c>
      <c r="AQ50" s="1">
        <f>8/空力安定性!$G$36/空力安定性!$G$47^2*A50^2*C50*(-空力安定性!$G$32)</f>
        <v>-0.11557617942768753</v>
      </c>
      <c r="AS50" s="1">
        <f>Z50*プロパティ!D$13</f>
        <v>8.5114098599999993E-2</v>
      </c>
      <c r="AT50" s="1">
        <f>W50*プロパティ!$D$13</f>
        <v>1.1190939228178915E-2</v>
      </c>
      <c r="AU50" s="1">
        <f>AA50*プロパティ!D$13</f>
        <v>6.0085995569999972E-3</v>
      </c>
      <c r="AV50" s="1">
        <f>SUM($AT51:AT$67)*(($A51+$A50)/2-$A50)+AV51</f>
        <v>1.0865220533395686E-3</v>
      </c>
      <c r="AW50" s="1">
        <f t="shared" si="3"/>
        <v>6.4396774038317616E-4</v>
      </c>
      <c r="AX50" s="1">
        <f t="shared" si="18"/>
        <v>6.9992276273511773E-3</v>
      </c>
      <c r="AY50" s="1">
        <f t="shared" si="19"/>
        <v>0.40102620289858737</v>
      </c>
      <c r="AZ50" s="1">
        <f t="shared" si="20"/>
        <v>2.1393083230232166E-3</v>
      </c>
    </row>
    <row r="51" spans="1:52">
      <c r="A51" s="1">
        <f>荷重解析!A47</f>
        <v>0.44</v>
      </c>
      <c r="C51" s="1">
        <f>荷重解析!I47</f>
        <v>0.18440000000000001</v>
      </c>
      <c r="E51" s="1">
        <f t="shared" si="4"/>
        <v>3.4003360000000003E-2</v>
      </c>
      <c r="F51" s="1">
        <f>$C$7*荷重解析!$D$1-C51*(荷重解析!$D$1)</f>
        <v>1.7846782820464091E-2</v>
      </c>
      <c r="G51" s="1">
        <f t="shared" si="5"/>
        <v>3.2909467520935787E-3</v>
      </c>
      <c r="H51" s="1">
        <f t="shared" si="6"/>
        <v>11.010524</v>
      </c>
      <c r="I51" s="1">
        <f t="shared" si="7"/>
        <v>9.0923729065932015</v>
      </c>
      <c r="J51" s="1">
        <f t="shared" si="8"/>
        <v>8.1136E-2</v>
      </c>
      <c r="K51" s="1">
        <f t="shared" si="9"/>
        <v>3.5699840000000004E-2</v>
      </c>
      <c r="L51" s="1">
        <f>C51*0.01*一般構造素材物性!$H$22*2</f>
        <v>3.8355200000000006E-2</v>
      </c>
      <c r="M51" s="1">
        <f>一般構造素材物性!$H$34*0.01*主翼細分計算!H51/1000+一般構造素材物性!$H$20*0.005*0.01*2</f>
        <v>5.4254963555555549E-2</v>
      </c>
      <c r="N51" s="1">
        <f>一般構造素材物性!$H$19*0.01*0.015</f>
        <v>1.35E-2</v>
      </c>
      <c r="O51" s="1">
        <f t="shared" si="10"/>
        <v>1.35E-2</v>
      </c>
      <c r="P51" s="1">
        <f>IF(COUNTIF(Python読み込み用データ!$Q$4:$Q$13,主翼細分計算!A51*1000),1,0)</f>
        <v>0</v>
      </c>
      <c r="Q51" s="1">
        <f t="shared" si="11"/>
        <v>2.3156527664355552E-5</v>
      </c>
      <c r="R51" s="1">
        <f t="shared" si="12"/>
        <v>4.3228290398097919E-7</v>
      </c>
      <c r="T51" s="1">
        <f>荷重解析!E47*0.01</f>
        <v>1.34628039E-2</v>
      </c>
      <c r="U51" s="1">
        <f>(荷重解析!F47+荷重解析!F48)/2*0.01</f>
        <v>1.0938421000000001E-3</v>
      </c>
      <c r="V51" s="1">
        <f>(荷重解析!G47+荷重解析!G48)/2*0.5*1.293*(荷重解析!C47^2+荷重解析!$B$1^2)*((C52+C51)/2)*0.01*COS(RADIANS(荷重解析!D47))</f>
        <v>7.8682551970179582E-4</v>
      </c>
      <c r="W51" s="1">
        <f t="shared" si="13"/>
        <v>1.8806676197017959E-3</v>
      </c>
      <c r="X51" s="1">
        <f>(荷重解析!H47+荷重解析!H48)/2*0.5*1.293*(荷重解析!C47^2+荷重解析!$B$1^2)*((C52+C51)/2)^2*0.01</f>
        <v>-3.5934106091467131E-4</v>
      </c>
      <c r="Z51" s="1">
        <f>IF(A51=プロパティ!$D$3,T51-プロパティ!$D$8,T51)</f>
        <v>1.34628039E-2</v>
      </c>
      <c r="AA51" s="1">
        <f>SUM(Z52:$Z$91)*(($A52+$A51)/2-$A51)+AA52</f>
        <v>6.8252328599999927E-4</v>
      </c>
      <c r="AB51" s="1">
        <f>AC51*H51/1000/2*一般構造素材物性!$M$7/1000</f>
        <v>3.7192959354159667E-6</v>
      </c>
      <c r="AC51" s="1">
        <f t="shared" si="22"/>
        <v>7.5065474437929997E-5</v>
      </c>
      <c r="AD51" s="1">
        <f t="shared" si="21"/>
        <v>0.3490658503988659</v>
      </c>
      <c r="AE51" s="1">
        <f t="shared" si="14"/>
        <v>20</v>
      </c>
      <c r="AF51" s="1">
        <f t="shared" si="17"/>
        <v>6.6322511575784518E-2</v>
      </c>
      <c r="AG51" s="1">
        <f t="shared" si="2"/>
        <v>66.322511575784517</v>
      </c>
      <c r="AH51" s="1">
        <f t="shared" si="15"/>
        <v>66.322511575784517</v>
      </c>
      <c r="AI51" s="68">
        <f>-2/空力安定性!$G$36*SIN(AD51)^2*C51*PI()*2*0.9</f>
        <v>-1.1346925398368501</v>
      </c>
      <c r="AJ51" s="1">
        <f t="shared" si="16"/>
        <v>-0.15554972616110033</v>
      </c>
      <c r="AK51" s="1">
        <f>-2/空力安定性!$G$36/空力安定性!$G$47*A51*C51*SIN(AD51)</f>
        <v>-0.25814089626857162</v>
      </c>
      <c r="AL51" s="1">
        <f>-4/空力安定性!$G$36/空力安定性!$G$47*A51*SIN(AD51)*COS(AD51)*C51*2*PI()*0.9</f>
        <v>-2.7434370754783171</v>
      </c>
      <c r="AM51" s="1">
        <f>-4/空力安定性!$G$36/空力安定性!$G$47^2*COS(AD51)*(A51*COS(AD51)+AF51*SIN(AD51))*C51*2*PI()*0.9</f>
        <v>-7.9510578647436843</v>
      </c>
      <c r="AN51" s="1">
        <f>-4/空力安定性!$G$36/空力安定性!$G$47^2*C51*COS(AD51)*A51^2</f>
        <v>-0.62412792951139728</v>
      </c>
      <c r="AO51" s="1">
        <f>4/空力安定性!$G$36/空力安定性!$G$47*2*A51*C51*SIN(AD51)*空力安定性!$G$33</f>
        <v>0.75075780007964232</v>
      </c>
      <c r="AP51" s="1">
        <f>4/空力安定性!$G$36/空力安定性!$G$47^2*2*(A51*COS(AD51)+AF51*SIN(AD51))*C51*A51</f>
        <v>1.3167380693466173</v>
      </c>
      <c r="AQ51" s="1">
        <f>8/空力安定性!$G$36/空力安定性!$G$47^2*A51^2*C51*(-空力安定性!$G$32)</f>
        <v>-0.11945953520161187</v>
      </c>
      <c r="AS51" s="1">
        <f>Z51*プロパティ!D$13</f>
        <v>8.0776823400000003E-2</v>
      </c>
      <c r="AT51" s="1">
        <f>W51*プロパティ!$D$13</f>
        <v>1.1284005718210775E-2</v>
      </c>
      <c r="AU51" s="1">
        <f>AA51*プロパティ!D$13</f>
        <v>4.0951397159999956E-3</v>
      </c>
      <c r="AV51" s="1">
        <f>SUM($AT52:AT$67)*(($A52+$A51)/2-$A51)+AV52</f>
        <v>7.6147633475690175E-4</v>
      </c>
      <c r="AW51" s="1">
        <f t="shared" si="3"/>
        <v>4.5039284662758003E-4</v>
      </c>
      <c r="AX51" s="1">
        <f t="shared" si="18"/>
        <v>7.0056673047550087E-3</v>
      </c>
      <c r="AY51" s="1">
        <f t="shared" si="19"/>
        <v>0.4013951692352527</v>
      </c>
      <c r="AZ51" s="1">
        <f t="shared" si="20"/>
        <v>2.2093005992967285E-3</v>
      </c>
    </row>
    <row r="52" spans="1:52">
      <c r="A52" s="1">
        <f>荷重解析!A48</f>
        <v>0.45</v>
      </c>
      <c r="C52" s="1">
        <f>荷重解析!I48</f>
        <v>0.182</v>
      </c>
      <c r="E52" s="1">
        <f t="shared" ref="E52:E56" si="23">C52^2</f>
        <v>3.3124000000000001E-2</v>
      </c>
      <c r="F52" s="1">
        <f>$C$7*荷重解析!$D$1-C52*(荷重解析!$D$1)</f>
        <v>1.878608717943589E-2</v>
      </c>
      <c r="G52" s="1">
        <f t="shared" ref="G52:G56" si="24">F52*C52</f>
        <v>3.4190678666573319E-3</v>
      </c>
      <c r="H52" s="1">
        <f t="shared" si="6"/>
        <v>10.86722</v>
      </c>
      <c r="I52" s="1">
        <f t="shared" si="7"/>
        <v>8.8572352896300011</v>
      </c>
      <c r="J52" s="1">
        <f t="shared" si="8"/>
        <v>8.1900000000000001E-2</v>
      </c>
      <c r="K52" s="1">
        <f t="shared" si="9"/>
        <v>3.6854999999999999E-2</v>
      </c>
      <c r="L52" s="1">
        <f>C52*0.01*一般構造素材物性!$H$22*2</f>
        <v>3.7856000000000001E-2</v>
      </c>
      <c r="M52" s="1">
        <f>一般構造素材物性!$H$34*0.01*主翼細分計算!H52/1000+一般構造素材物性!$H$20*0.005*0.01*2</f>
        <v>5.3809128888888891E-2</v>
      </c>
      <c r="N52" s="1">
        <f>一般構造素材物性!$H$19*0.01*0.015</f>
        <v>1.35E-2</v>
      </c>
      <c r="O52" s="1">
        <f t="shared" si="10"/>
        <v>1.35E-2</v>
      </c>
      <c r="P52" s="1">
        <f>IF(COUNTIF(Python読み込み用データ!$Q$4:$Q$13,主翼細分計算!A52*1000),1,0)</f>
        <v>1</v>
      </c>
      <c r="Q52" s="1">
        <f t="shared" ref="Q52:Q56" si="25">SUM(L52:P52)/10^3*A52^2</f>
        <v>2.2652968860000002E-4</v>
      </c>
      <c r="R52" s="1">
        <f t="shared" ref="R52:R56" si="26">SUM(M52:N52)/10^3*(C52*0.3)^2+SUM(O52)/10^3*(C52*0.7)^2</f>
        <v>4.1977454267839993E-7</v>
      </c>
      <c r="T52" s="1">
        <f>荷重解析!E48*0.01</f>
        <v>1.26276393E-2</v>
      </c>
      <c r="U52" s="1">
        <f>(荷重解析!F48+荷重解析!F49)/2*0.01</f>
        <v>1.09404805E-3</v>
      </c>
      <c r="V52" s="1">
        <f>(荷重解析!G48+荷重解析!G49)/2*0.5*1.293*(荷重解析!C48^2+荷重解析!$B$1^2)*((C53+C52)/2)*0.01*COS(RADIANS(荷重解析!D48))</f>
        <v>8.0082418322811454E-4</v>
      </c>
      <c r="W52" s="1">
        <f t="shared" ref="W52:W56" si="27">V52+U52</f>
        <v>1.8948722332281145E-3</v>
      </c>
      <c r="X52" s="1">
        <f>(荷重解析!H48+荷重解析!H49)/2*0.5*1.293*(荷重解析!C48^2+荷重解析!$B$1^2)*((C53+C52)/2)^2*0.01</f>
        <v>-2.93680731620024E-4</v>
      </c>
      <c r="Z52" s="1">
        <f>IF(A52=プロパティ!$D$3,T52-プロパティ!$D$8,T52)</f>
        <v>1.26276393E-2</v>
      </c>
      <c r="AA52" s="1">
        <f>SUM(Z53:$Z$91)*(($A53+$A52)/2-$A52)+AA53</f>
        <v>4.30927331999999E-4</v>
      </c>
      <c r="AB52" s="1">
        <f>AC52*H52/1000/2*一般構造素材物性!$M$7/1000</f>
        <v>2.379232215782872E-6</v>
      </c>
      <c r="AC52" s="1">
        <f t="shared" ref="AC52:AC56" si="28">AA52/I52</f>
        <v>4.8652578136264056E-5</v>
      </c>
      <c r="AD52" s="1">
        <f t="shared" si="21"/>
        <v>0.3490658503988659</v>
      </c>
      <c r="AE52" s="1">
        <f t="shared" ref="AE52:AE56" si="29">IFERROR(DEGREES(AD52),"")</f>
        <v>20</v>
      </c>
      <c r="AF52" s="1">
        <f t="shared" ref="AF52:AF56" si="30">AD51*0.01+AF51</f>
        <v>6.9813170079773182E-2</v>
      </c>
      <c r="AG52" s="1">
        <f t="shared" si="2"/>
        <v>69.813170079773187</v>
      </c>
      <c r="AH52" s="1">
        <f t="shared" si="15"/>
        <v>69.813170079773187</v>
      </c>
      <c r="AI52" s="68">
        <f>-2/空力安定性!$G$36*SIN(AD52)^2*C52*PI()*2*0.9</f>
        <v>-1.1199243072142446</v>
      </c>
      <c r="AJ52" s="1">
        <f t="shared" si="16"/>
        <v>-0.15725320392654674</v>
      </c>
      <c r="AK52" s="1">
        <f>-2/空力安定性!$G$36/空力安定性!$G$47*A52*C52*SIN(AD52)</f>
        <v>-0.26057162547323032</v>
      </c>
      <c r="AL52" s="1">
        <f>-4/空力安定性!$G$36/空力安定性!$G$47*A52*SIN(AD52)*COS(AD52)*C52*2*PI()*0.9</f>
        <v>-2.7692700710125493</v>
      </c>
      <c r="AM52" s="1">
        <f>-4/空力安定性!$G$36/空力安定性!$G$47^2*COS(AD52)*(A52*COS(AD52)+AF52*SIN(AD52))*C52*2*PI()*0.9</f>
        <v>-8.0381325939549768</v>
      </c>
      <c r="AN52" s="1">
        <f>-4/空力安定性!$G$36/空力安定性!$G$47^2*C52*COS(AD52)*A52^2</f>
        <v>-0.6443231914244586</v>
      </c>
      <c r="AO52" s="1">
        <f>4/空力安定性!$G$36/空力安定性!$G$47*2*A52*C52*SIN(AD52)*空力安定性!$G$33</f>
        <v>0.75782715226930963</v>
      </c>
      <c r="AP52" s="1">
        <f>4/空力安定性!$G$36/空力安定性!$G$47^2*2*(A52*COS(AD52)+AF52*SIN(AD52))*C52*A52</f>
        <v>1.3614117076774195</v>
      </c>
      <c r="AQ52" s="1">
        <f>8/空力安定性!$G$36/空力安定性!$G$47^2*A52^2*C52*(-空力安定性!$G$32)</f>
        <v>-0.12332495523384433</v>
      </c>
      <c r="AS52" s="1">
        <f>Z52*プロパティ!D$13</f>
        <v>7.57658358E-2</v>
      </c>
      <c r="AT52" s="1">
        <f>W52*プロパティ!$D$13</f>
        <v>1.1369233399368687E-2</v>
      </c>
      <c r="AU52" s="1">
        <f>AA52*プロパティ!D$13</f>
        <v>2.5855639919999942E-3</v>
      </c>
      <c r="AV52" s="1">
        <f>SUM($AT53:AT$67)*(($A53+$A52)/2-$A52)+AV53</f>
        <v>4.9285064476528887E-4</v>
      </c>
      <c r="AW52" s="1">
        <f t="shared" si="3"/>
        <v>2.9191546881758432E-4</v>
      </c>
      <c r="AX52" s="1">
        <f t="shared" ref="AX52:AX56" si="31">AW51*0.01+AX51</f>
        <v>7.0101712332212842E-3</v>
      </c>
      <c r="AY52" s="1">
        <f t="shared" ref="AY52:AY56" si="32">IFERROR(DEGREES(AX52),"")</f>
        <v>0.40165322532759912</v>
      </c>
      <c r="AZ52" s="1">
        <f t="shared" ref="AZ52:AZ56" si="33">AX51*0.01+AZ51</f>
        <v>2.2793572723442787E-3</v>
      </c>
    </row>
    <row r="53" spans="1:52">
      <c r="A53" s="1">
        <f>荷重解析!A49</f>
        <v>0.46</v>
      </c>
      <c r="C53" s="1">
        <f>荷重解析!I49</f>
        <v>0.17960000000000001</v>
      </c>
      <c r="E53" s="1">
        <f t="shared" si="23"/>
        <v>3.2256160000000006E-2</v>
      </c>
      <c r="F53" s="1">
        <f>$C$7*荷重解析!$D$1-C53*(荷重解析!$D$1)</f>
        <v>1.9725391538407688E-2</v>
      </c>
      <c r="G53" s="1">
        <f t="shared" si="24"/>
        <v>3.5426803202980211E-3</v>
      </c>
      <c r="H53" s="1">
        <f t="shared" si="6"/>
        <v>10.723915999999999</v>
      </c>
      <c r="I53" s="1">
        <f t="shared" si="7"/>
        <v>8.6251780781291973</v>
      </c>
      <c r="J53" s="1">
        <f t="shared" si="8"/>
        <v>8.2616000000000009E-2</v>
      </c>
      <c r="K53" s="1">
        <f t="shared" si="9"/>
        <v>3.8003360000000007E-2</v>
      </c>
      <c r="L53" s="1">
        <f>C53*0.01*一般構造素材物性!$H$22*2</f>
        <v>3.7356800000000003E-2</v>
      </c>
      <c r="M53" s="1">
        <f>一般構造素材物性!$H$34*0.01*主翼細分計算!H53/1000+一般構造素材物性!$H$20*0.005*0.01*2</f>
        <v>5.3363294222222218E-2</v>
      </c>
      <c r="N53" s="1">
        <f>一般構造素材物性!$H$19*0.01*0.015</f>
        <v>1.35E-2</v>
      </c>
      <c r="O53" s="1">
        <f t="shared" si="10"/>
        <v>1.35E-2</v>
      </c>
      <c r="P53" s="1">
        <f>IF(COUNTIF(Python読み込み用データ!$Q$4:$Q$13,主翼細分計算!A53*1000),1,0)</f>
        <v>0</v>
      </c>
      <c r="Q53" s="1">
        <f t="shared" si="25"/>
        <v>2.4909571937422218E-5</v>
      </c>
      <c r="R53" s="1">
        <f t="shared" si="26"/>
        <v>4.0748227889031675E-7</v>
      </c>
      <c r="T53" s="1">
        <f>荷重解析!E49*0.01</f>
        <v>1.16429567E-2</v>
      </c>
      <c r="U53" s="1">
        <f>(荷重解析!F49+荷重解析!F50)/2*0.01</f>
        <v>1.0880963500000001E-3</v>
      </c>
      <c r="V53" s="1">
        <f>(荷重解析!G49+荷重解析!G50)/2*0.5*1.293*(荷重解析!C49^2+荷重解析!$B$1^2)*((C54+C53)/2)*0.01*COS(RADIANS(荷重解析!D49))</f>
        <v>8.3206695545283297E-4</v>
      </c>
      <c r="W53" s="1">
        <f t="shared" si="27"/>
        <v>1.9201633054528331E-3</v>
      </c>
      <c r="X53" s="1">
        <f>(荷重解析!H49+荷重解析!H50)/2*0.5*1.293*(荷重解析!C49^2+荷重解析!$B$1^2)*((C54+C53)/2)^2*0.01</f>
        <v>-2.0623154011708877E-4</v>
      </c>
      <c r="Z53" s="1">
        <f>IF(A53=プロパティ!$D$3,T53-プロパティ!$D$8,T53)</f>
        <v>1.16429567E-2</v>
      </c>
      <c r="AA53" s="1">
        <f>SUM(Z54:$Z$91)*(($A54+$A53)/2-$A53)+AA54</f>
        <v>2.424695744999988E-4</v>
      </c>
      <c r="AB53" s="1">
        <f>AC53*H53/1000/2*一般構造素材物性!$M$7/1000</f>
        <v>1.3566102597222814E-6</v>
      </c>
      <c r="AC53" s="1">
        <f t="shared" si="28"/>
        <v>2.811183401706536E-5</v>
      </c>
      <c r="AD53" s="1">
        <f t="shared" si="21"/>
        <v>0.3490658503988659</v>
      </c>
      <c r="AE53" s="1">
        <f t="shared" si="29"/>
        <v>20</v>
      </c>
      <c r="AF53" s="1">
        <f t="shared" si="30"/>
        <v>7.3303828583761846E-2</v>
      </c>
      <c r="AG53" s="1">
        <f t="shared" si="2"/>
        <v>73.303828583761842</v>
      </c>
      <c r="AH53" s="1">
        <f t="shared" si="15"/>
        <v>73.303828583761842</v>
      </c>
      <c r="AI53" s="68">
        <f>-2/空力安定性!$G$36*SIN(AD53)^2*C53*PI()*2*0.9</f>
        <v>-1.1051560745916391</v>
      </c>
      <c r="AJ53" s="1">
        <f t="shared" si="16"/>
        <v>-0.15885836117862254</v>
      </c>
      <c r="AK53" s="1">
        <f>-2/空力安定性!$G$36/空力安定性!$G$47*A53*C53*SIN(AD53)</f>
        <v>-0.26284963870691574</v>
      </c>
      <c r="AL53" s="1">
        <f>-4/空力安定性!$G$36/空力安定性!$G$47*A53*SIN(AD53)*COS(AD53)*C53*2*PI()*0.9</f>
        <v>-2.7934800511205466</v>
      </c>
      <c r="AM53" s="1">
        <f>-4/空力安定性!$G$36/空力安定性!$G$47^2*COS(AD53)*(A53*COS(AD53)+AF53*SIN(AD53))*C53*2*PI()*0.9</f>
        <v>-8.1201815856712969</v>
      </c>
      <c r="AN53" s="1">
        <f>-4/空力安定性!$G$36/空力安定性!$G$47^2*C53*COS(AD53)*A53^2</f>
        <v>-0.66439957129433236</v>
      </c>
      <c r="AO53" s="1">
        <f>4/空力安定性!$G$36/空力安定性!$G$47*2*A53*C53*SIN(AD53)*空力安定性!$G$33</f>
        <v>0.76445235667742728</v>
      </c>
      <c r="AP53" s="1">
        <f>4/空力安定性!$G$36/空力安定性!$G$47^2*2*(A53*COS(AD53)+AF53*SIN(AD53))*C53*A53</f>
        <v>1.4058706820249667</v>
      </c>
      <c r="AQ53" s="1">
        <f>8/空力安定性!$G$36/空力安定性!$G$47^2*A53^2*C53*(-空力安定性!$G$32)</f>
        <v>-0.1271676209669155</v>
      </c>
      <c r="AS53" s="1">
        <f>Z53*プロパティ!D$13</f>
        <v>6.9857740200000004E-2</v>
      </c>
      <c r="AT53" s="1">
        <f>W53*プロパティ!$D$13</f>
        <v>1.1520979832716998E-2</v>
      </c>
      <c r="AU53" s="1">
        <f>AA53*プロパティ!D$13</f>
        <v>1.4548174469999928E-3</v>
      </c>
      <c r="AV53" s="1">
        <f>SUM($AT54:AT$67)*(($A54+$A53)/2-$A53)+AV54</f>
        <v>2.8107112177051948E-4</v>
      </c>
      <c r="AW53" s="1">
        <f t="shared" si="3"/>
        <v>1.6867100410239216E-4</v>
      </c>
      <c r="AX53" s="1">
        <f t="shared" si="31"/>
        <v>7.0130903879094602E-3</v>
      </c>
      <c r="AY53" s="1">
        <f t="shared" si="32"/>
        <v>0.40182048057097741</v>
      </c>
      <c r="AZ53" s="1">
        <f t="shared" si="33"/>
        <v>2.3494589846764914E-3</v>
      </c>
    </row>
    <row r="54" spans="1:52">
      <c r="A54" s="1">
        <f>荷重解析!A50</f>
        <v>0.47</v>
      </c>
      <c r="C54" s="1">
        <f>荷重解析!I50</f>
        <v>0.1772</v>
      </c>
      <c r="E54" s="1">
        <f t="shared" si="23"/>
        <v>3.1399839999999998E-2</v>
      </c>
      <c r="F54" s="1">
        <f>$C$7*荷重解析!$D$1-C54*(荷重解析!$D$1)</f>
        <v>2.0664695897379487E-2</v>
      </c>
      <c r="G54" s="1">
        <f t="shared" si="24"/>
        <v>3.661784113015645E-3</v>
      </c>
      <c r="H54" s="1">
        <f t="shared" ref="H54:H57" si="34">0.05971*C54*1000</f>
        <v>10.580612</v>
      </c>
      <c r="I54" s="1">
        <f t="shared" ref="I54:I57" si="35">150*10^9*(H54/1000/2)^2*0.005*0.0002*2</f>
        <v>8.396201272090801</v>
      </c>
      <c r="J54" s="1">
        <f t="shared" si="8"/>
        <v>8.3283999999999997E-2</v>
      </c>
      <c r="K54" s="1">
        <f t="shared" si="9"/>
        <v>3.9143479999999994E-2</v>
      </c>
      <c r="L54" s="1">
        <f>C54*0.01*一般構造素材物性!$H$22*2</f>
        <v>3.6857599999999997E-2</v>
      </c>
      <c r="M54" s="1">
        <f>一般構造素材物性!$H$34*0.01*主翼細分計算!H54/1000+一般構造素材物性!$H$20*0.005*0.01*2</f>
        <v>5.291745955555556E-2</v>
      </c>
      <c r="N54" s="1">
        <f>一般構造素材物性!$H$19*0.01*0.015</f>
        <v>1.35E-2</v>
      </c>
      <c r="O54" s="1">
        <f t="shared" ref="O54:O57" si="36">N54</f>
        <v>1.35E-2</v>
      </c>
      <c r="P54" s="1">
        <f>IF(COUNTIF(Python読み込み用データ!$Q$4:$Q$13,主翼細分計算!A54*1000),1,0)</f>
        <v>0</v>
      </c>
      <c r="Q54" s="1">
        <f t="shared" si="25"/>
        <v>2.579561065582222E-5</v>
      </c>
      <c r="R54" s="1">
        <f t="shared" si="26"/>
        <v>3.954047258925823E-7</v>
      </c>
      <c r="T54" s="1">
        <f>荷重解析!E50*0.01</f>
        <v>1.0440656900000001E-2</v>
      </c>
      <c r="U54" s="1">
        <f>(荷重解析!F50+荷重解析!F51)/2*0.01</f>
        <v>1.0637729000000002E-3</v>
      </c>
      <c r="V54" s="1">
        <f>(荷重解析!G50+荷重解析!G51)/2*0.5*1.293*(荷重解析!C50^2+荷重解析!$B$1^2)*((C55+C54)/2)*0.01*COS(RADIANS(荷重解析!D50))</f>
        <v>9.2872819542123939E-4</v>
      </c>
      <c r="W54" s="1">
        <f t="shared" si="27"/>
        <v>1.9925010954212397E-3</v>
      </c>
      <c r="X54" s="1">
        <f>(荷重解析!H50+荷重解析!H51)/2*0.5*1.293*(荷重解析!C50^2+荷重解析!$B$1^2)*((C55+C54)/2)^2*0.01</f>
        <v>-1.3031628646782833E-4</v>
      </c>
      <c r="Z54" s="1">
        <f>IF(A54=プロパティ!$D$3,T54-プロパティ!$D$8,T54)</f>
        <v>1.0440656900000001E-2</v>
      </c>
      <c r="AA54" s="1">
        <f>SUM(Z55:$Z$91)*(($A55+$A54)/2-$A54)+AA55</f>
        <v>1.1222660050000011E-4</v>
      </c>
      <c r="AB54" s="1">
        <f>AC54*H54/1000/2*一般構造素材物性!$M$7/1000</f>
        <v>6.3640893645849647E-7</v>
      </c>
      <c r="AC54" s="1">
        <f t="shared" si="28"/>
        <v>1.3366354243203334E-5</v>
      </c>
      <c r="AD54" s="1">
        <f t="shared" si="21"/>
        <v>0.3490658503988659</v>
      </c>
      <c r="AE54" s="1">
        <f t="shared" si="29"/>
        <v>20</v>
      </c>
      <c r="AF54" s="1">
        <f t="shared" si="30"/>
        <v>7.679448708775051E-2</v>
      </c>
      <c r="AG54" s="1">
        <f t="shared" ref="AG54:AG57" si="37">AF54*1000</f>
        <v>76.794487087750511</v>
      </c>
      <c r="AH54" s="1">
        <f t="shared" ref="AH54:AH57" si="38">AG54-A54*TAN($AD$7)*1000</f>
        <v>76.794487087750511</v>
      </c>
      <c r="AI54" s="68">
        <f>-2/空力安定性!$G$36*SIN(AD54)^2*C54*PI()*2*0.9</f>
        <v>-1.0903878419690338</v>
      </c>
      <c r="AJ54" s="1">
        <f t="shared" si="16"/>
        <v>-0.16036519791732776</v>
      </c>
      <c r="AK54" s="1">
        <f>-2/空力安定性!$G$36/空力安定性!$G$47*A54*C54*SIN(AD54)</f>
        <v>-0.26497493596962779</v>
      </c>
      <c r="AL54" s="1">
        <f>-4/空力安定性!$G$36/空力安定性!$G$47*A54*SIN(AD54)*COS(AD54)*C54*2*PI()*0.9</f>
        <v>-2.8160670158023087</v>
      </c>
      <c r="AM54" s="1">
        <f>-4/空力安定性!$G$36/空力安定性!$G$47^2*COS(AD54)*(A54*COS(AD54)+AF54*SIN(AD54))*C54*2*PI()*0.9</f>
        <v>-8.1972048398926418</v>
      </c>
      <c r="AN54" s="1">
        <f>-4/空力安定性!$G$36/空力安定性!$G$47^2*C54*COS(AD54)*A54^2</f>
        <v>-0.68433189410010753</v>
      </c>
      <c r="AO54" s="1">
        <f>4/空力安定性!$G$36/空力安定性!$G$47*2*A54*C54*SIN(AD54)*空力安定性!$G$33</f>
        <v>0.77063341330399493</v>
      </c>
      <c r="AP54" s="1">
        <f>4/空力安定性!$G$36/空力安定性!$G$47^2*2*(A54*COS(AD54)+AF54*SIN(AD54))*C54*A54</f>
        <v>1.4500582453958035</v>
      </c>
      <c r="AQ54" s="1">
        <f>8/空力安定性!$G$36/空力安定性!$G$47^2*A54^2*C54*(-空力安定性!$G$32)</f>
        <v>-0.13098271384335589</v>
      </c>
      <c r="AS54" s="1">
        <f>Z54*プロパティ!D$13</f>
        <v>6.2643941400000014E-2</v>
      </c>
      <c r="AT54" s="1">
        <f>W54*プロパティ!$D$13</f>
        <v>1.1955006572527439E-2</v>
      </c>
      <c r="AU54" s="1">
        <f>AA54*プロパティ!D$13</f>
        <v>6.7335960300000074E-4</v>
      </c>
      <c r="AV54" s="1">
        <f>SUM($AT55:AT$67)*(($A55+$A54)/2-$A54)+AV55</f>
        <v>1.2689649793933688E-4</v>
      </c>
      <c r="AW54" s="1">
        <f t="shared" ref="AW54:AW57" si="39">AU54/I54</f>
        <v>8.0198125459220019E-5</v>
      </c>
      <c r="AX54" s="1">
        <f t="shared" si="31"/>
        <v>7.0147770979504843E-3</v>
      </c>
      <c r="AY54" s="1">
        <f t="shared" si="32"/>
        <v>0.40191712193759044</v>
      </c>
      <c r="AZ54" s="1">
        <f t="shared" si="33"/>
        <v>2.4195898885555861E-3</v>
      </c>
    </row>
    <row r="55" spans="1:52">
      <c r="A55" s="1">
        <f>荷重解析!A51</f>
        <v>0.48</v>
      </c>
      <c r="C55" s="1">
        <f>荷重解析!I51</f>
        <v>0.17480000000000001</v>
      </c>
      <c r="E55" s="1">
        <f t="shared" si="23"/>
        <v>3.0555040000000006E-2</v>
      </c>
      <c r="F55" s="1">
        <f>$C$7*荷重解析!$D$1-C55*(荷重解析!$D$1)</f>
        <v>2.1604000256351272E-2</v>
      </c>
      <c r="G55" s="1">
        <f t="shared" si="24"/>
        <v>3.7763792448102023E-3</v>
      </c>
      <c r="H55" s="1">
        <f t="shared" si="34"/>
        <v>10.437308000000002</v>
      </c>
      <c r="I55" s="1">
        <f t="shared" si="35"/>
        <v>8.1703048715148014</v>
      </c>
      <c r="J55" s="1">
        <f t="shared" si="8"/>
        <v>8.3904000000000006E-2</v>
      </c>
      <c r="K55" s="1">
        <f t="shared" si="9"/>
        <v>4.0273920000000005E-2</v>
      </c>
      <c r="L55" s="1">
        <f>C55*0.01*一般構造素材物性!$H$22*2</f>
        <v>3.6358400000000006E-2</v>
      </c>
      <c r="M55" s="1">
        <f>一般構造素材物性!$H$34*0.01*主翼細分計算!H55/1000+一般構造素材物性!$H$20*0.005*0.01*2</f>
        <v>5.2471624888888888E-2</v>
      </c>
      <c r="N55" s="1">
        <f>一般構造素材物性!$H$19*0.01*0.015</f>
        <v>1.35E-2</v>
      </c>
      <c r="O55" s="1">
        <f t="shared" si="36"/>
        <v>1.35E-2</v>
      </c>
      <c r="P55" s="1">
        <f>IF(COUNTIF(Python読み込み用データ!$Q$4:$Q$13,主翼細分計算!A55*1000),1,0)</f>
        <v>0</v>
      </c>
      <c r="Q55" s="1">
        <f t="shared" si="25"/>
        <v>2.6687237734399997E-5</v>
      </c>
      <c r="R55" s="1">
        <f t="shared" si="26"/>
        <v>3.8354049696104957E-7</v>
      </c>
      <c r="T55" s="1">
        <f>荷重解析!E51*0.01</f>
        <v>8.8830191000000003E-3</v>
      </c>
      <c r="U55" s="1">
        <f>(荷重解析!F51+荷重解析!F52)/2*0.01</f>
        <v>9.8442230000000009E-4</v>
      </c>
      <c r="V55" s="1">
        <f>(荷重解析!G51+荷重解析!G52)/2*0.5*1.293*(荷重解析!C51^2+荷重解析!$B$1^2)*((C56+C55)/2)*0.01*COS(RADIANS(荷重解析!D51))</f>
        <v>1.0907229499252406E-3</v>
      </c>
      <c r="W55" s="1">
        <f t="shared" si="27"/>
        <v>2.0751452499252407E-3</v>
      </c>
      <c r="X55" s="1">
        <f>(荷重解析!H51+荷重解析!H52)/2*0.5*1.293*(荷重解析!C51^2+荷重解析!$B$1^2)*((C56+C55)/2)^2*0.01</f>
        <v>-9.6138204465801935E-5</v>
      </c>
      <c r="Z55" s="1">
        <f>IF(A55=プロパティ!$D$3,T55-プロパティ!$D$8,T55)</f>
        <v>8.8830191000000003E-3</v>
      </c>
      <c r="AA55" s="1">
        <f>SUM(Z56:$Z$91)*(($A56+$A55)/2-$A55)+AA56</f>
        <v>3.4186911000000034E-5</v>
      </c>
      <c r="AB55" s="1">
        <f>AC55*H55/1000/2*一般構造素材物性!$M$7/1000</f>
        <v>1.9652717539810093E-7</v>
      </c>
      <c r="AC55" s="1">
        <f t="shared" si="28"/>
        <v>4.1842882900478188E-6</v>
      </c>
      <c r="AD55" s="1">
        <f t="shared" si="21"/>
        <v>0.3490658503988659</v>
      </c>
      <c r="AE55" s="1">
        <f t="shared" si="29"/>
        <v>20</v>
      </c>
      <c r="AF55" s="1">
        <f t="shared" si="30"/>
        <v>8.0285145591739174E-2</v>
      </c>
      <c r="AG55" s="1">
        <f t="shared" si="37"/>
        <v>80.28514559173918</v>
      </c>
      <c r="AH55" s="1">
        <f t="shared" si="38"/>
        <v>80.28514559173918</v>
      </c>
      <c r="AI55" s="68">
        <f>-2/空力安定性!$G$36*SIN(AD55)^2*C55*PI()*2*0.9</f>
        <v>-1.0756196093464283</v>
      </c>
      <c r="AJ55" s="1">
        <f t="shared" si="16"/>
        <v>-0.16177371414266239</v>
      </c>
      <c r="AK55" s="1">
        <f>-2/空力安定性!$G$36/空力安定性!$G$47*A55*C55*SIN(AD55)</f>
        <v>-0.26694751726136651</v>
      </c>
      <c r="AL55" s="1">
        <f>-4/空力安定性!$G$36/空力安定性!$G$47*A55*SIN(AD55)*COS(AD55)*C55*2*PI()*0.9</f>
        <v>-2.8370309650578376</v>
      </c>
      <c r="AM55" s="1">
        <f>-4/空力安定性!$G$36/空力安定性!$G$47^2*COS(AD55)*(A55*COS(AD55)+AF55*SIN(AD55))*C55*2*PI()*0.9</f>
        <v>-8.2692023566190098</v>
      </c>
      <c r="AN55" s="1">
        <f>-4/空力安定性!$G$36/空力安定性!$G$47^2*C55*COS(AD55)*A55^2</f>
        <v>-0.70409498482087463</v>
      </c>
      <c r="AO55" s="1">
        <f>4/空力安定性!$G$36/空力安定性!$G$47*2*A55*C55*SIN(AD55)*空力安定性!$G$33</f>
        <v>0.77637032214901291</v>
      </c>
      <c r="AP55" s="1">
        <f>4/空力安定性!$G$36/空力安定性!$G$47^2*2*(A55*COS(AD55)+AF55*SIN(AD55))*C55*A55</f>
        <v>1.4939176507964775</v>
      </c>
      <c r="AQ55" s="1">
        <f>8/空力安定性!$G$36/空力安定性!$G$47^2*A55^2*C55*(-空力安定性!$G$32)</f>
        <v>-0.13476541530569608</v>
      </c>
      <c r="AS55" s="1">
        <f>Z55*プロパティ!D$13</f>
        <v>5.3298114600000002E-2</v>
      </c>
      <c r="AT55" s="1">
        <f>W55*プロパティ!$D$13</f>
        <v>1.2450871499551444E-2</v>
      </c>
      <c r="AU55" s="1">
        <f>AA55*プロパティ!D$13</f>
        <v>2.051214660000002E-4</v>
      </c>
      <c r="AV55" s="1">
        <f>SUM($AT56:AT$67)*(($A56+$A55)/2-$A55)+AV56</f>
        <v>3.2496906970789801E-5</v>
      </c>
      <c r="AW55" s="1">
        <f t="shared" si="39"/>
        <v>2.5105729740286913E-5</v>
      </c>
      <c r="AX55" s="1">
        <f t="shared" si="31"/>
        <v>7.0155790792050766E-3</v>
      </c>
      <c r="AY55" s="1">
        <f t="shared" si="32"/>
        <v>0.40196307207872717</v>
      </c>
      <c r="AZ55" s="1">
        <f t="shared" si="33"/>
        <v>2.4897376595350907E-3</v>
      </c>
    </row>
    <row r="56" spans="1:52">
      <c r="A56" s="1">
        <f>荷重解析!A52</f>
        <v>0.49</v>
      </c>
      <c r="C56" s="1">
        <f>荷重解析!I52</f>
        <v>0.1724</v>
      </c>
      <c r="E56" s="1">
        <f t="shared" si="23"/>
        <v>2.972176E-2</v>
      </c>
      <c r="F56" s="1">
        <f>$C$7*荷重解析!$D$1-C56*(荷重解析!$D$1)</f>
        <v>2.254330461532307E-2</v>
      </c>
      <c r="G56" s="1">
        <f t="shared" si="24"/>
        <v>3.8864657156816975E-3</v>
      </c>
      <c r="H56" s="1">
        <f t="shared" si="34"/>
        <v>10.294003999999999</v>
      </c>
      <c r="I56" s="1">
        <f t="shared" si="35"/>
        <v>7.9474888764011995</v>
      </c>
      <c r="J56" s="1">
        <f t="shared" si="8"/>
        <v>8.4475999999999996E-2</v>
      </c>
      <c r="K56" s="1">
        <f t="shared" si="9"/>
        <v>4.1393239999999998E-2</v>
      </c>
      <c r="L56" s="1">
        <f>C56*0.01*一般構造素材物性!$H$22*2</f>
        <v>3.5859200000000001E-2</v>
      </c>
      <c r="M56" s="1">
        <f>一般構造素材物性!$H$34*0.01*主翼細分計算!H56/1000+一般構造素材物性!$H$20*0.005*0.01*2</f>
        <v>5.2025790222222215E-2</v>
      </c>
      <c r="N56" s="1">
        <f>一般構造素材物性!$H$19*0.01*0.015</f>
        <v>1.35E-2</v>
      </c>
      <c r="O56" s="1">
        <f t="shared" si="36"/>
        <v>1.35E-2</v>
      </c>
      <c r="P56" s="1">
        <f>IF(COUNTIF(Python読み込み用データ!$Q$4:$Q$13,主翼細分計算!A56*1000),1,0)</f>
        <v>0</v>
      </c>
      <c r="Q56" s="1">
        <f t="shared" si="25"/>
        <v>2.7583886152355549E-5</v>
      </c>
      <c r="R56" s="1">
        <f t="shared" si="26"/>
        <v>3.7188820537157115E-7</v>
      </c>
      <c r="T56" s="1">
        <f>荷重解析!E52*0.01</f>
        <v>6.6124554000000007E-3</v>
      </c>
      <c r="U56" s="1">
        <f>(荷重解析!F52+荷重解析!F53)/2*0.01</f>
        <v>4.7372500000000004E-4</v>
      </c>
      <c r="V56" s="1">
        <f>(荷重解析!G52+荷重解析!G53)/2*0.5*1.293*(荷重解析!C52^2+荷重解析!$B$1^2)*((C57+C56)/2)*0.01*COS(RADIANS(荷重解析!D52))</f>
        <v>5.8606033235965912E-4</v>
      </c>
      <c r="W56" s="1">
        <f t="shared" si="27"/>
        <v>1.059785332359659E-3</v>
      </c>
      <c r="X56" s="1">
        <f>(荷重解析!H52+荷重解析!H53)/2*0.5*1.293*(荷重解析!C52^2+荷重解析!$B$1^2)*((C57+C56)/2)^2*0.01</f>
        <v>-4.4752002200057947E-5</v>
      </c>
      <c r="Z56" s="1">
        <f>IF(A56=プロパティ!$D$3,T56-プロパティ!$D$8,T56)</f>
        <v>6.6124554000000007E-3</v>
      </c>
      <c r="AA56" s="1">
        <f>SUM(Z57:$Z$91)*(($A57+$A56)/2-$A56)+AA57</f>
        <v>5.6231700000000057E-7</v>
      </c>
      <c r="AB56" s="1">
        <f>AC56*H56/1000/2*一般構造素材物性!$M$7/1000</f>
        <v>3.2775409840524675E-9</v>
      </c>
      <c r="AC56" s="1">
        <f t="shared" si="28"/>
        <v>7.075404681215865E-8</v>
      </c>
      <c r="AD56" s="1">
        <f t="shared" si="21"/>
        <v>0.3490658503988659</v>
      </c>
      <c r="AE56" s="1">
        <f t="shared" si="29"/>
        <v>20</v>
      </c>
      <c r="AF56" s="1">
        <f t="shared" si="30"/>
        <v>8.3775804095727838E-2</v>
      </c>
      <c r="AG56" s="1">
        <f t="shared" si="37"/>
        <v>83.775804095727835</v>
      </c>
      <c r="AH56" s="1">
        <f t="shared" si="38"/>
        <v>83.775804095727835</v>
      </c>
      <c r="AI56" s="68">
        <f>-2/空力安定性!$G$36*SIN(AD56)^2*C56*PI()*2*0.9</f>
        <v>-1.0608513767238228</v>
      </c>
      <c r="AJ56" s="1">
        <f t="shared" si="16"/>
        <v>-0.16308390985462642</v>
      </c>
      <c r="AK56" s="1">
        <f>-2/空力安定性!$G$36/空力安定性!$G$47*A56*C56*SIN(AD56)</f>
        <v>-0.26876738258213195</v>
      </c>
      <c r="AL56" s="1">
        <f>-4/空力安定性!$G$36/空力安定性!$G$47*A56*SIN(AD56)*COS(AD56)*C56*2*PI()*0.9</f>
        <v>-2.8563718988871321</v>
      </c>
      <c r="AM56" s="1">
        <f>-4/空力安定性!$G$36/空力安定性!$G$47^2*COS(AD56)*(A56*COS(AD56)+AF56*SIN(AD56))*C56*2*PI()*0.9</f>
        <v>-8.3361741358504045</v>
      </c>
      <c r="AN56" s="1">
        <f>-4/空力安定性!$G$36/空力安定性!$G$47^2*C56*COS(AD56)*A56^2</f>
        <v>-0.7236636684357225</v>
      </c>
      <c r="AO56" s="1">
        <f>4/空力安定性!$G$36/空力安定性!$G$47*2*A56*C56*SIN(AD56)*空力安定性!$G$33</f>
        <v>0.78166308321248112</v>
      </c>
      <c r="AP56" s="1">
        <f>4/空力安定性!$G$36/空力安定性!$G$47^2*2*(A56*COS(AD56)+AF56*SIN(AD56))*C56*A56</f>
        <v>1.5373921512335342</v>
      </c>
      <c r="AQ56" s="1">
        <f>8/空力安定性!$G$36/空力安定性!$G$47^2*A56^2*C56*(-空力安定性!$G$32)</f>
        <v>-0.13851090679646655</v>
      </c>
      <c r="AS56" s="1">
        <f>Z56*プロパティ!D$13</f>
        <v>3.9674732400000003E-2</v>
      </c>
      <c r="AT56" s="1">
        <f>W56*プロパティ!$D$13</f>
        <v>6.3587119941579543E-3</v>
      </c>
      <c r="AU56" s="1">
        <f>AA56*プロパティ!D$13</f>
        <v>3.3739020000000034E-6</v>
      </c>
      <c r="AV56" s="1">
        <f>SUM($AT57:AT$67)*(($A57+$A56)/2-$A56)+AV57</f>
        <v>3.5167350000000033E-7</v>
      </c>
      <c r="AW56" s="1">
        <f t="shared" si="39"/>
        <v>4.2452428087295184E-7</v>
      </c>
      <c r="AX56" s="1">
        <f t="shared" si="31"/>
        <v>7.0158301365024793E-3</v>
      </c>
      <c r="AY56" s="1">
        <f t="shared" si="32"/>
        <v>0.40197745660228429</v>
      </c>
      <c r="AZ56" s="1">
        <f t="shared" si="33"/>
        <v>2.5598934503271416E-3</v>
      </c>
    </row>
    <row r="57" spans="1:52">
      <c r="A57" s="1">
        <f>荷重解析!A53</f>
        <v>0.5</v>
      </c>
      <c r="C57" s="1">
        <f>荷重解析!I53</f>
        <v>0.17000059000000001</v>
      </c>
      <c r="E57" s="1">
        <f t="shared" ref="E57" si="40">C57^2</f>
        <v>2.8900200600348102E-2</v>
      </c>
      <c r="F57" s="1">
        <f>$C$7*荷重解析!$D$1-C57*(荷重解析!$D$1)</f>
        <v>2.3482378061973286E-2</v>
      </c>
      <c r="G57" s="1">
        <f t="shared" ref="G57" si="41">F57*C57</f>
        <v>3.992018125138515E-3</v>
      </c>
      <c r="H57" s="1">
        <f t="shared" si="34"/>
        <v>10.1507352289</v>
      </c>
      <c r="I57" s="1">
        <f t="shared" si="35"/>
        <v>7.7278069265423683</v>
      </c>
      <c r="J57" s="1">
        <f t="shared" si="8"/>
        <v>8.5000295000000003E-2</v>
      </c>
      <c r="K57" s="1">
        <f t="shared" si="9"/>
        <v>4.2500147500000002E-2</v>
      </c>
      <c r="L57" s="1">
        <f>C57*0.01*一般構造素材物性!$H$22*2</f>
        <v>3.5360122720000005E-2</v>
      </c>
      <c r="M57" s="1">
        <f>一般構造素材物性!$H$34*0.01*主翼細分計算!H57/1000+一般構造素材物性!$H$20*0.005*0.01*2</f>
        <v>5.1580065156577773E-2</v>
      </c>
      <c r="N57" s="1">
        <f>一般構造素材物性!$H$19*0.01*0.015</f>
        <v>1.35E-2</v>
      </c>
      <c r="O57" s="1">
        <f t="shared" si="36"/>
        <v>1.35E-2</v>
      </c>
      <c r="P57" s="1">
        <f>IF(COUNTIF(Python読み込み用データ!$Q$4:$Q$13,主翼細分計算!A57*1000),1,0)</f>
        <v>0</v>
      </c>
      <c r="Q57" s="1">
        <f t="shared" ref="Q57" si="42">SUM(L57:P57)/10^3*A57^2</f>
        <v>2.8485046969144444E-5</v>
      </c>
      <c r="R57" s="1">
        <f t="shared" ref="R57" si="43">SUM(M57:N57)/10^3*(C57*0.3)^2+SUM(O57)/10^3*(C57*0.7)^2</f>
        <v>3.6044925140109669E-7</v>
      </c>
      <c r="T57" s="1">
        <f>荷重解析!E53*0.01</f>
        <v>1.1246340000000001E-4</v>
      </c>
      <c r="U57" s="1">
        <f>(荷重解析!F53+荷重解析!F54)/2*0.01</f>
        <v>1.172245E-5</v>
      </c>
      <c r="V57" s="1">
        <f>(荷重解析!G53+荷重解析!G54)/2*0.5*1.293*(荷重解析!C53^2+荷重解析!$B$1^2)*((C58+C57)/2)*0.01*COS(RADIANS(荷重解析!D53))</f>
        <v>0</v>
      </c>
      <c r="W57" s="1">
        <f t="shared" ref="W57" si="44">V57+U57</f>
        <v>1.172245E-5</v>
      </c>
      <c r="X57" s="1">
        <f>(荷重解析!H53+荷重解析!H54)/2*0.5*1.293*(荷重解析!C53^2+荷重解析!$B$1^2)*((C58+C57)/2)^2*0.01</f>
        <v>0</v>
      </c>
      <c r="Z57" s="1">
        <f>IF(A57=プロパティ!$D$3,T57-プロパティ!$D$8,T57)</f>
        <v>1.1246340000000001E-4</v>
      </c>
      <c r="AA57" s="1">
        <f>SUM(Z58:$Z$91)*(($A58+$A57)/2-$A57)+AA58</f>
        <v>0</v>
      </c>
      <c r="AB57" s="1">
        <f>AC57*H57/1000/2*一般構造素材物性!$M$7/1000</f>
        <v>0</v>
      </c>
      <c r="AC57" s="1">
        <f t="shared" ref="AC57" si="45">AA57/I57</f>
        <v>0</v>
      </c>
      <c r="AD57" s="1">
        <f t="shared" si="21"/>
        <v>0.3490658503988659</v>
      </c>
      <c r="AE57" s="1">
        <f t="shared" ref="AE57" si="46">IFERROR(DEGREES(AD57),"")</f>
        <v>20</v>
      </c>
      <c r="AF57" s="1">
        <f t="shared" ref="AF57" si="47">AD56*0.01+AF56</f>
        <v>8.7266462599716502E-2</v>
      </c>
      <c r="AG57" s="1">
        <f t="shared" si="37"/>
        <v>87.266462599716505</v>
      </c>
      <c r="AH57" s="1">
        <f t="shared" si="38"/>
        <v>87.266462599716505</v>
      </c>
      <c r="AI57" s="68">
        <f>-2/空力安定性!$G$36*SIN(AD57)^2*C57*PI()*2*0.9</f>
        <v>-1.0460867746250706</v>
      </c>
      <c r="AJ57" s="1">
        <f t="shared" si="16"/>
        <v>-0.16429635525623859</v>
      </c>
      <c r="AK57" s="1">
        <f>-2/空力安定性!$G$36/空力安定性!$G$47*A57*C57*SIN(AD57)</f>
        <v>-0.27043547049882904</v>
      </c>
      <c r="AL57" s="1">
        <f>-4/空力安定性!$G$36/空力安定性!$G$47*A57*SIN(AD57)*COS(AD57)*C57*2*PI()*0.9</f>
        <v>-2.8740997920724989</v>
      </c>
      <c r="AM57" s="1">
        <f>-4/空力安定性!$G$36/空力安定性!$G$47^2*COS(AD57)*(A57*COS(AD57)+AF57*SIN(AD57))*C57*2*PI()*0.9</f>
        <v>-8.3981493240039118</v>
      </c>
      <c r="AN57" s="1">
        <f>-4/空力安定性!$G$36/空力安定性!$G$47^2*C57*COS(AD57)*A57^2</f>
        <v>-0.74301534861511953</v>
      </c>
      <c r="AO57" s="1">
        <f>4/空力安定性!$G$36/空力安定性!$G$47*2*A57*C57*SIN(AD57)*空力安定性!$G$33</f>
        <v>0.78651442615264056</v>
      </c>
      <c r="AP57" s="1">
        <f>4/空力安定性!$G$36/空力安定性!$G$47^2*2*(A57*COS(AD57)+AF57*SIN(AD57))*C57*A57</f>
        <v>1.58043048471793</v>
      </c>
      <c r="AQ57" s="1">
        <f>8/空力安定性!$G$36/空力安定性!$G$47^2*A57^2*C57*(-空力安定性!$G$32)</f>
        <v>-0.14221486332571651</v>
      </c>
      <c r="AS57" s="1">
        <f>Z57*プロパティ!D$13</f>
        <v>6.7478040000000007E-4</v>
      </c>
      <c r="AT57" s="1">
        <f>W57*プロパティ!$D$13</f>
        <v>7.0334700000000003E-5</v>
      </c>
      <c r="AU57" s="1">
        <f>AA57*プロパティ!D$13</f>
        <v>0</v>
      </c>
      <c r="AV57" s="1">
        <f>SUM($AT58:AT$67)*(($A58+$A57)/2-$A57)+AV58</f>
        <v>0</v>
      </c>
      <c r="AW57" s="1">
        <f t="shared" si="39"/>
        <v>0</v>
      </c>
      <c r="AX57" s="1">
        <f t="shared" ref="AX57" si="48">AW56*0.01+AX56</f>
        <v>7.0158343817452876E-3</v>
      </c>
      <c r="AY57" s="1">
        <f t="shared" ref="AY57" si="49">IFERROR(DEGREES(AX57),"")</f>
        <v>0.40197769983678022</v>
      </c>
      <c r="AZ57" s="1">
        <f t="shared" ref="AZ57" si="50">AX56*0.01+AZ56</f>
        <v>2.6300517516921664E-3</v>
      </c>
    </row>
    <row r="58" spans="1:52">
      <c r="AI58" s="68"/>
    </row>
    <row r="59" spans="1:52">
      <c r="AI59" s="68"/>
    </row>
    <row r="60" spans="1:52">
      <c r="AI60" s="68"/>
    </row>
    <row r="61" spans="1:52">
      <c r="AI61" s="68"/>
    </row>
    <row r="62" spans="1:52">
      <c r="AI62" s="68"/>
    </row>
    <row r="63" spans="1:52">
      <c r="AI63" s="68"/>
    </row>
    <row r="64" spans="1:52">
      <c r="AI64" s="68"/>
    </row>
    <row r="65" spans="35:35">
      <c r="AI65" s="68"/>
    </row>
    <row r="66" spans="35:35">
      <c r="AI66" s="68"/>
    </row>
    <row r="67" spans="35:35">
      <c r="AI67" s="68"/>
    </row>
  </sheetData>
  <mergeCells count="32">
    <mergeCell ref="A1:A2"/>
    <mergeCell ref="A4:A6"/>
    <mergeCell ref="X5:X6"/>
    <mergeCell ref="AS4:AZ4"/>
    <mergeCell ref="C4:C6"/>
    <mergeCell ref="B4:B6"/>
    <mergeCell ref="T4:X4"/>
    <mergeCell ref="Z4:AL4"/>
    <mergeCell ref="AW5:AW6"/>
    <mergeCell ref="AX5:AY5"/>
    <mergeCell ref="AU5:AU6"/>
    <mergeCell ref="AV5:AV6"/>
    <mergeCell ref="AJ5:AJ6"/>
    <mergeCell ref="AL5:AL6"/>
    <mergeCell ref="AM5:AM6"/>
    <mergeCell ref="AN5:AN6"/>
    <mergeCell ref="T5:T6"/>
    <mergeCell ref="U5:U6"/>
    <mergeCell ref="V5:V6"/>
    <mergeCell ref="W5:W6"/>
    <mergeCell ref="AT5:AT6"/>
    <mergeCell ref="AD5:AE5"/>
    <mergeCell ref="AI5:AI6"/>
    <mergeCell ref="Z5:Z6"/>
    <mergeCell ref="AA5:AA6"/>
    <mergeCell ref="AC5:AC6"/>
    <mergeCell ref="AS5:AS6"/>
    <mergeCell ref="AO5:AO6"/>
    <mergeCell ref="AP5:AP6"/>
    <mergeCell ref="AQ5:AQ6"/>
    <mergeCell ref="AK5:AK6"/>
    <mergeCell ref="AB5:AB6"/>
  </mergeCells>
  <phoneticPr fontId="45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15305-097A-514E-9789-C2C6CC61751B}">
  <sheetPr codeName="Sheet4">
    <tabColor rgb="FF00B0F0"/>
  </sheetPr>
  <dimension ref="A1:AY131"/>
  <sheetViews>
    <sheetView zoomScale="89" zoomScaleNormal="89" workbookViewId="0">
      <pane xSplit="1" ySplit="6" topLeftCell="B7" activePane="bottomRight" state="frozen"/>
      <selection pane="topRight" activeCell="D1" sqref="D1"/>
      <selection pane="bottomLeft" activeCell="A7" sqref="A7"/>
      <selection pane="bottomRight" activeCell="F7" sqref="F7"/>
    </sheetView>
  </sheetViews>
  <sheetFormatPr baseColWidth="10" defaultColWidth="10.5" defaultRowHeight="17"/>
  <cols>
    <col min="1" max="5" width="10.5" style="1"/>
    <col min="6" max="6" width="27.1640625" style="1" bestFit="1" customWidth="1"/>
    <col min="7" max="7" width="16.83203125" style="1" bestFit="1" customWidth="1"/>
    <col min="8" max="8" width="13" style="1" bestFit="1" customWidth="1"/>
    <col min="9" max="9" width="12.83203125" style="1" customWidth="1"/>
    <col min="10" max="10" width="14" style="1" customWidth="1"/>
    <col min="11" max="12" width="10.5" style="1"/>
    <col min="13" max="13" width="12" style="1" bestFit="1" customWidth="1"/>
    <col min="14" max="15" width="10.5" style="1"/>
    <col min="16" max="16" width="31" style="1" bestFit="1" customWidth="1"/>
    <col min="17" max="17" width="24.83203125" style="1" customWidth="1"/>
    <col min="18" max="18" width="10.5" style="1"/>
    <col min="19" max="22" width="13" style="1" customWidth="1"/>
    <col min="23" max="23" width="14" style="1" customWidth="1"/>
    <col min="24" max="25" width="10.5" style="1"/>
    <col min="26" max="26" width="15" style="1" bestFit="1" customWidth="1"/>
    <col min="27" max="27" width="15" style="1" customWidth="1"/>
    <col min="28" max="28" width="10.5" style="1"/>
    <col min="29" max="29" width="15" style="1" bestFit="1" customWidth="1"/>
    <col min="30" max="33" width="10.5" style="1"/>
    <col min="34" max="35" width="16" style="1" bestFit="1" customWidth="1"/>
    <col min="36" max="36" width="16" style="1" customWidth="1"/>
    <col min="37" max="37" width="10.5" style="1"/>
    <col min="38" max="38" width="20.5" style="1" bestFit="1" customWidth="1"/>
    <col min="39" max="39" width="22.1640625" style="1" bestFit="1" customWidth="1"/>
    <col min="40" max="40" width="17.1640625" style="1" bestFit="1" customWidth="1"/>
    <col min="41" max="45" width="10.5" style="1"/>
    <col min="46" max="46" width="13.6640625" style="1" customWidth="1"/>
    <col min="47" max="47" width="13" style="1" customWidth="1"/>
    <col min="48" max="16384" width="10.5" style="1"/>
  </cols>
  <sheetData>
    <row r="1" spans="1:51">
      <c r="A1" s="112"/>
      <c r="B1" s="2"/>
      <c r="C1" s="1">
        <f>0.3/RADIANS(5)</f>
        <v>3.4377467707849392</v>
      </c>
      <c r="J1" s="1">
        <v>2.2949315821323497E-2</v>
      </c>
      <c r="P1" s="71" t="s">
        <v>428</v>
      </c>
      <c r="Q1" s="71" t="s">
        <v>429</v>
      </c>
    </row>
    <row r="2" spans="1:51">
      <c r="A2" s="112"/>
      <c r="B2" s="2"/>
      <c r="E2" s="85" t="s">
        <v>507</v>
      </c>
      <c r="G2" s="85" t="s">
        <v>503</v>
      </c>
      <c r="P2" s="72" t="s">
        <v>425</v>
      </c>
      <c r="Q2" s="72" t="s">
        <v>425</v>
      </c>
      <c r="AH2" s="73" t="s">
        <v>449</v>
      </c>
      <c r="AI2" s="73" t="s">
        <v>449</v>
      </c>
      <c r="AJ2" s="73" t="s">
        <v>450</v>
      </c>
      <c r="AK2" s="73" t="s">
        <v>449</v>
      </c>
      <c r="AL2" s="73" t="s">
        <v>451</v>
      </c>
      <c r="AM2" s="73" t="s">
        <v>452</v>
      </c>
      <c r="AN2" s="73" t="s">
        <v>270</v>
      </c>
      <c r="AO2" s="73" t="s">
        <v>270</v>
      </c>
      <c r="AP2" s="73" t="s">
        <v>271</v>
      </c>
    </row>
    <row r="3" spans="1:51">
      <c r="E3" s="86">
        <f>SUM(E7:E53)/SUM(C7:C53)</f>
        <v>0.17</v>
      </c>
      <c r="G3" s="86">
        <f>SUM(G7:G53)/SUM(C7:C53)*1000</f>
        <v>41.595744680851084</v>
      </c>
      <c r="H3" s="1">
        <f>G3/C7/1000</f>
        <v>0.24468085106382989</v>
      </c>
      <c r="J3" s="1">
        <f>SUM(J66:J131)*SIN(RADIANS(20))</f>
        <v>1.5292575658448961E-2</v>
      </c>
      <c r="K3" s="1">
        <f>SUM(K7:O67)*2</f>
        <v>20.710355822222226</v>
      </c>
      <c r="P3" s="72">
        <f>SUM(P7:P67)*2</f>
        <v>3.4091209253111116E-4</v>
      </c>
      <c r="Q3" s="72">
        <f>SUM(Q7:Q67)*2</f>
        <v>3.3881967653599978E-5</v>
      </c>
      <c r="S3" s="1">
        <f>SUM(S7:S79)*2</f>
        <v>1.8459092332000002</v>
      </c>
      <c r="V3" s="1">
        <f>SUM(V7:V67)</f>
        <v>7.2566958180255575E-2</v>
      </c>
      <c r="AH3" s="1">
        <f t="shared" ref="AH3:AP3" si="0">SUM(AH7:AH67)*0.01</f>
        <v>-4.349994107242669E-2</v>
      </c>
      <c r="AI3" s="1">
        <f>SUM(AI7:AI356)*0.005/1.24/0.187</f>
        <v>-0.15429309820445869</v>
      </c>
      <c r="AJ3" s="1">
        <f t="shared" si="0"/>
        <v>-2.0678133374116711E-2</v>
      </c>
      <c r="AK3" s="1">
        <f t="shared" si="0"/>
        <v>-4.0127808880541002E-2</v>
      </c>
      <c r="AL3" s="1">
        <f t="shared" si="0"/>
        <v>-0.18055399758678511</v>
      </c>
      <c r="AM3" s="1">
        <f t="shared" si="0"/>
        <v>-2.5709993554185746E-2</v>
      </c>
      <c r="AN3" s="1">
        <f t="shared" si="0"/>
        <v>8.2712533496466845E-2</v>
      </c>
      <c r="AO3" s="1">
        <f t="shared" si="0"/>
        <v>5.7685237331430272E-2</v>
      </c>
      <c r="AP3" s="1">
        <f t="shared" si="0"/>
        <v>5.2994139534883702E-2</v>
      </c>
    </row>
    <row r="4" spans="1:51">
      <c r="A4" s="113" t="s">
        <v>44</v>
      </c>
      <c r="B4" s="113"/>
      <c r="C4" s="115" t="s">
        <v>48</v>
      </c>
      <c r="E4" s="65" t="s">
        <v>327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3"/>
      <c r="S4" s="116" t="s">
        <v>27</v>
      </c>
      <c r="T4" s="116"/>
      <c r="U4" s="116"/>
      <c r="V4" s="116"/>
      <c r="W4" s="116"/>
      <c r="Y4" s="117" t="s">
        <v>28</v>
      </c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7"/>
      <c r="AL4" s="63"/>
      <c r="AM4" s="63"/>
      <c r="AN4" s="63"/>
      <c r="AO4" s="63"/>
      <c r="AP4" s="63"/>
      <c r="AR4" s="114" t="s">
        <v>29</v>
      </c>
      <c r="AS4" s="114"/>
      <c r="AT4" s="114"/>
      <c r="AU4" s="114"/>
      <c r="AV4" s="114"/>
      <c r="AW4" s="114"/>
      <c r="AX4" s="114"/>
      <c r="AY4" s="114"/>
    </row>
    <row r="5" spans="1:51" ht="18" customHeight="1">
      <c r="A5" s="113"/>
      <c r="B5" s="113"/>
      <c r="C5" s="115"/>
      <c r="E5" s="66" t="s">
        <v>328</v>
      </c>
      <c r="F5" s="85" t="s">
        <v>501</v>
      </c>
      <c r="G5" s="85" t="s">
        <v>502</v>
      </c>
      <c r="H5" s="85" t="s">
        <v>504</v>
      </c>
      <c r="I5" s="12" t="s">
        <v>65</v>
      </c>
      <c r="J5" s="90" t="s">
        <v>516</v>
      </c>
      <c r="K5" s="71" t="s">
        <v>424</v>
      </c>
      <c r="L5" s="71" t="s">
        <v>419</v>
      </c>
      <c r="M5" s="71" t="s">
        <v>420</v>
      </c>
      <c r="N5" s="71" t="s">
        <v>422</v>
      </c>
      <c r="O5" s="71" t="s">
        <v>423</v>
      </c>
      <c r="P5" s="71" t="s">
        <v>427</v>
      </c>
      <c r="Q5" s="71" t="s">
        <v>426</v>
      </c>
      <c r="R5" s="2"/>
      <c r="S5" s="102" t="s">
        <v>30</v>
      </c>
      <c r="T5" s="103" t="s">
        <v>69</v>
      </c>
      <c r="U5" s="103" t="s">
        <v>70</v>
      </c>
      <c r="V5" s="103" t="s">
        <v>71</v>
      </c>
      <c r="W5" s="102" t="s">
        <v>32</v>
      </c>
      <c r="Y5" s="109" t="s">
        <v>53</v>
      </c>
      <c r="Z5" s="110" t="s">
        <v>31</v>
      </c>
      <c r="AA5" s="110" t="s">
        <v>512</v>
      </c>
      <c r="AB5" s="111" t="s">
        <v>33</v>
      </c>
      <c r="AC5" s="106" t="s">
        <v>34</v>
      </c>
      <c r="AD5" s="106"/>
      <c r="AE5" s="10" t="s">
        <v>56</v>
      </c>
      <c r="AF5" s="10"/>
      <c r="AG5" s="87" t="s">
        <v>506</v>
      </c>
      <c r="AH5" s="107" t="s">
        <v>403</v>
      </c>
      <c r="AI5" s="108" t="s">
        <v>400</v>
      </c>
      <c r="AJ5" s="108" t="s">
        <v>406</v>
      </c>
      <c r="AK5" s="108" t="s">
        <v>404</v>
      </c>
      <c r="AL5" s="108" t="s">
        <v>407</v>
      </c>
      <c r="AM5" s="107" t="s">
        <v>405</v>
      </c>
      <c r="AN5" s="107" t="s">
        <v>401</v>
      </c>
      <c r="AO5" s="107" t="s">
        <v>402</v>
      </c>
      <c r="AP5" s="108" t="s">
        <v>408</v>
      </c>
      <c r="AR5" s="104" t="s">
        <v>53</v>
      </c>
      <c r="AS5" s="104" t="s">
        <v>72</v>
      </c>
      <c r="AT5" s="105" t="s">
        <v>74</v>
      </c>
      <c r="AU5" s="105" t="s">
        <v>73</v>
      </c>
      <c r="AV5" s="118" t="s">
        <v>33</v>
      </c>
      <c r="AW5" s="119" t="s">
        <v>34</v>
      </c>
      <c r="AX5" s="119"/>
      <c r="AY5" s="8" t="s">
        <v>55</v>
      </c>
    </row>
    <row r="6" spans="1:51">
      <c r="A6" s="113"/>
      <c r="B6" s="113"/>
      <c r="C6" s="115"/>
      <c r="E6" s="67" t="s">
        <v>329</v>
      </c>
      <c r="F6" s="86" t="s">
        <v>500</v>
      </c>
      <c r="G6" s="86" t="s">
        <v>329</v>
      </c>
      <c r="H6" s="86" t="s">
        <v>505</v>
      </c>
      <c r="I6" s="4" t="s">
        <v>54</v>
      </c>
      <c r="J6" s="91" t="s">
        <v>517</v>
      </c>
      <c r="K6" s="72" t="s">
        <v>63</v>
      </c>
      <c r="L6" s="11" t="s">
        <v>63</v>
      </c>
      <c r="M6" s="72" t="s">
        <v>63</v>
      </c>
      <c r="N6" s="72" t="s">
        <v>63</v>
      </c>
      <c r="O6" s="72" t="s">
        <v>63</v>
      </c>
      <c r="P6" s="72" t="s">
        <v>425</v>
      </c>
      <c r="Q6" s="72" t="s">
        <v>425</v>
      </c>
      <c r="R6" s="2"/>
      <c r="S6" s="102"/>
      <c r="T6" s="102"/>
      <c r="U6" s="102"/>
      <c r="V6" s="102"/>
      <c r="W6" s="102"/>
      <c r="Y6" s="110"/>
      <c r="Z6" s="110"/>
      <c r="AA6" s="110"/>
      <c r="AB6" s="111"/>
      <c r="AC6" s="5" t="s">
        <v>35</v>
      </c>
      <c r="AD6" s="5" t="s">
        <v>36</v>
      </c>
      <c r="AE6" s="5" t="s">
        <v>59</v>
      </c>
      <c r="AF6" s="5" t="s">
        <v>60</v>
      </c>
      <c r="AG6" s="88" t="s">
        <v>505</v>
      </c>
      <c r="AH6" s="108"/>
      <c r="AI6" s="108"/>
      <c r="AJ6" s="108"/>
      <c r="AK6" s="108"/>
      <c r="AL6" s="108"/>
      <c r="AM6" s="108"/>
      <c r="AN6" s="108"/>
      <c r="AO6" s="108"/>
      <c r="AP6" s="108"/>
      <c r="AR6" s="104"/>
      <c r="AS6" s="105"/>
      <c r="AT6" s="105"/>
      <c r="AU6" s="105"/>
      <c r="AV6" s="118"/>
      <c r="AW6" s="6" t="s">
        <v>35</v>
      </c>
      <c r="AX6" s="6" t="s">
        <v>36</v>
      </c>
      <c r="AY6" s="6" t="s">
        <v>57</v>
      </c>
    </row>
    <row r="7" spans="1:51">
      <c r="A7" s="1">
        <f>荷重解析!A3</f>
        <v>0</v>
      </c>
      <c r="C7" s="1">
        <v>0.17</v>
      </c>
      <c r="E7" s="1">
        <f>C7^2</f>
        <v>2.8900000000000006E-2</v>
      </c>
      <c r="F7" s="1">
        <f>$C$7*荷重解析!$D$1-C7*(荷重解析!$D$1)</f>
        <v>0</v>
      </c>
      <c r="G7" s="1">
        <f>F7*C7</f>
        <v>0</v>
      </c>
      <c r="H7" s="1">
        <f>0.05971*C7*1000</f>
        <v>10.150700000000001</v>
      </c>
      <c r="I7" s="1">
        <f>150*10^9*(H7/1000/2)^2*0.005*0.0002*2</f>
        <v>7.7277532867500005</v>
      </c>
      <c r="J7" s="1">
        <f>C7*0.005</f>
        <v>8.5000000000000006E-4</v>
      </c>
      <c r="K7" s="1">
        <f>C7*0.01*一般構造素材物性!$H$22*2</f>
        <v>3.5360000000000003E-2</v>
      </c>
      <c r="L7" s="1">
        <f>一般構造素材物性!$H$34*0.01*Lavender!H7/1000+一般構造素材物性!$H$20*0.005*0.01*2</f>
        <v>5.1579955555555557E-2</v>
      </c>
      <c r="M7" s="1">
        <f>一般構造素材物性!$H$19*0.01*0.015</f>
        <v>1.35E-2</v>
      </c>
      <c r="N7" s="1">
        <f>M7</f>
        <v>1.35E-2</v>
      </c>
      <c r="O7" s="1">
        <f>IF(COUNTIF(Python読み込み用データ!$Q$4:$Q$13,Lavender!A7*1000),1,0)</f>
        <v>1</v>
      </c>
      <c r="P7" s="1">
        <f>SUM(K7:O7)/10^3*A7^2</f>
        <v>0</v>
      </c>
      <c r="Q7" s="1">
        <f>SUM(L7:M7)/10^3*(C7*0.3)^2+SUM(N7)/10^3*(C7*0.7)^2</f>
        <v>3.6044646440000005E-7</v>
      </c>
      <c r="S7" s="1">
        <f>荷重解析!E3*0.01</f>
        <v>2.2201044200000002E-2</v>
      </c>
      <c r="T7" s="1">
        <f>(荷重解析!F3+荷重解析!F4)/2*0.01</f>
        <v>9.253693000000001E-4</v>
      </c>
      <c r="U7" s="1">
        <f>(荷重解析!G3+荷重解析!G4)/2*0.5*1.293*(荷重解析!C3^2+荷重解析!$B$1^2)*((C8+C7)/2)*0.01*COS(RADIANS(荷重解析!D3))</f>
        <v>4.4967493016475957E-4</v>
      </c>
      <c r="V7" s="1">
        <f>U7+T7</f>
        <v>1.3750442301647596E-3</v>
      </c>
      <c r="W7" s="1">
        <f>(荷重解析!H3+荷重解析!H4)/2*0.5*1.293*(荷重解析!C3^2+荷重解析!$B$1^2)*((C8+C7)/2)^2*0.01</f>
        <v>-3.7521931703787771E-4</v>
      </c>
      <c r="Y7" s="1">
        <f>IF(A7=プロパティ!$D$3,S7-プロパティ!$D$8,S7)</f>
        <v>2.2201044200000002E-2</v>
      </c>
      <c r="Z7" s="1">
        <f>SUM(Y8:$Y$91)*(($A8+$A7)/2-$A7)+Z8</f>
        <v>4.8898097136500021E-2</v>
      </c>
      <c r="AA7" s="1">
        <f>AB7*H7/1000/2*一般構造素材物性!$M$7/1000</f>
        <v>2.8903285765415212E-4</v>
      </c>
      <c r="AB7" s="1">
        <f t="shared" ref="AB7:AB53" si="1">Z7/I7</f>
        <v>6.3275955277118717E-3</v>
      </c>
      <c r="AC7" s="1">
        <f>RADIANS(14)</f>
        <v>0.24434609527920614</v>
      </c>
      <c r="AD7" s="1">
        <f>IFERROR(DEGREES(AC7),"")</f>
        <v>14</v>
      </c>
      <c r="AE7" s="1">
        <v>0</v>
      </c>
      <c r="AF7" s="1">
        <f t="shared" ref="AF7:AF53" si="2">AE7*1000</f>
        <v>0</v>
      </c>
      <c r="AG7" s="1">
        <f>AF7-A7*TAN($AC$7)*1000</f>
        <v>0</v>
      </c>
      <c r="AH7" s="68">
        <f>-2/空力安定性!$G$36*SIN(AC7)^2*C7</f>
        <v>-9.2553066111546151E-2</v>
      </c>
      <c r="AI7" s="1">
        <f>-2*PI()*0.9*SIN(AC7)*(A7*COS(AC7))*C7</f>
        <v>0</v>
      </c>
      <c r="AJ7" s="1">
        <f>-2/空力安定性!$G$36/空力安定性!$G$47*A7*C7*SIN(AC7)</f>
        <v>0</v>
      </c>
      <c r="AK7" s="1">
        <f>-4/空力安定性!$G$36/空力安定性!$G$47*A7*SIN(AC7)*COS(AC7)*C7</f>
        <v>0</v>
      </c>
      <c r="AL7" s="1">
        <f>-4/空力安定性!$G$36/空力安定性!$G$47^2*COS(AC7)*(A7*COS(AC7)+AE7*SIN(AC7))*C7</f>
        <v>0</v>
      </c>
      <c r="AM7" s="1">
        <f>-4/空力安定性!$G$36/空力安定性!$G$47^2*C7*COS(AC7)*A7^2</f>
        <v>0</v>
      </c>
      <c r="AN7" s="1">
        <f>4/空力安定性!$G$36/空力安定性!$G$47*2*A7*C7*SIN(AC7)</f>
        <v>0</v>
      </c>
      <c r="AO7" s="1">
        <f>4/空力安定性!$G$36/空力安定性!$G$47^2*2*(A7*COS(AC7)+AE7*SIN(AC7))*C7*A7</f>
        <v>0</v>
      </c>
      <c r="AP7" s="1">
        <f>8/空力安定性!$G$36/空力安定性!$G$47^2*A7^2*C7</f>
        <v>0</v>
      </c>
      <c r="AR7" s="1">
        <f>Y7*プロパティ!D$13</f>
        <v>0.13320626520000001</v>
      </c>
      <c r="AS7" s="1">
        <f>V7*プロパティ!$D$13</f>
        <v>8.2502653809885581E-3</v>
      </c>
      <c r="AT7" s="1">
        <f>Z7*プロパティ!D$13</f>
        <v>0.29338858281900015</v>
      </c>
      <c r="AU7" s="1">
        <f>SUM($AS8:AS$67)*(($A8+$A7)/2-$A7)+AU8</f>
        <v>2.626366095621736E-2</v>
      </c>
      <c r="AV7" s="1">
        <f t="shared" ref="AV7:AV53" si="3">AT7/I7</f>
        <v>3.7965573166271235E-2</v>
      </c>
      <c r="AW7" s="1">
        <f>RADIANS(プロパティ!R5)</f>
        <v>0</v>
      </c>
      <c r="AY7" s="1">
        <v>0</v>
      </c>
    </row>
    <row r="8" spans="1:51">
      <c r="A8" s="1">
        <v>5.0000000000000001E-3</v>
      </c>
      <c r="C8" s="1">
        <v>0.17</v>
      </c>
      <c r="E8" s="1">
        <f t="shared" ref="E8:E53" si="4">C8^2</f>
        <v>2.8900000000000006E-2</v>
      </c>
      <c r="F8" s="1">
        <f>$C$7*荷重解析!$D$1-C8*(荷重解析!$D$1-0.25)</f>
        <v>4.250000000000001E-2</v>
      </c>
      <c r="G8" s="1">
        <f t="shared" ref="G8:G53" si="5">F8*C8</f>
        <v>7.2250000000000023E-3</v>
      </c>
      <c r="H8" s="1">
        <f t="shared" ref="H8:H53" si="6">0.05971*C8*1000</f>
        <v>10.150700000000001</v>
      </c>
      <c r="I8" s="1">
        <f t="shared" ref="I8:I53" si="7">150*10^9*(H8/1000/2)^2*0.005*0.0002*2</f>
        <v>7.7277532867500005</v>
      </c>
      <c r="J8" s="1">
        <f t="shared" ref="J8:J71" si="8">C8*0.005</f>
        <v>8.5000000000000006E-4</v>
      </c>
      <c r="K8" s="1">
        <f>C8*0.01*一般構造素材物性!$H$22*2</f>
        <v>3.5360000000000003E-2</v>
      </c>
      <c r="L8" s="1">
        <f>一般構造素材物性!$H$34*0.01*Lavender!H8/1000+一般構造素材物性!$H$20*0.005*0.01*2</f>
        <v>5.1579955555555557E-2</v>
      </c>
      <c r="M8" s="1">
        <f>一般構造素材物性!$H$19*0.01*0.015</f>
        <v>1.35E-2</v>
      </c>
      <c r="N8" s="1">
        <f t="shared" ref="N8:N53" si="9">M8</f>
        <v>1.35E-2</v>
      </c>
      <c r="O8" s="1">
        <f>IF(COUNTIF(Python読み込み用データ!$Q$4:$Q$13,Lavender!A8*1000),1,0)</f>
        <v>0</v>
      </c>
      <c r="P8" s="1">
        <f t="shared" ref="P8:P53" si="10">SUM(K8:O8)/10^3*A8^2</f>
        <v>2.8484988888888893E-9</v>
      </c>
      <c r="Q8" s="1">
        <f t="shared" ref="Q8:Q53" si="11">SUM(L8:M8)/10^3*(C8*0.3)^2+SUM(N8)/10^3*(C8*0.7)^2</f>
        <v>3.6044646440000005E-7</v>
      </c>
      <c r="S8" s="1">
        <f>荷重解析!E4*0.01</f>
        <v>2.21990447E-2</v>
      </c>
      <c r="T8" s="1">
        <f>(荷重解析!F4+荷重解析!F5)/2*0.01</f>
        <v>9.2585594999999995E-4</v>
      </c>
      <c r="U8" s="1">
        <f>(荷重解析!G4+荷重解析!G5)/2*0.5*1.293*(荷重解析!C4^2+荷重解析!$B$1^2)*((C9+C8)/2)*0.01*COS(RADIANS(荷重解析!D4))</f>
        <v>4.4980627951678154E-4</v>
      </c>
      <c r="V8" s="1">
        <f t="shared" ref="V8:V53" si="12">U8+T8</f>
        <v>1.3756622295167816E-3</v>
      </c>
      <c r="W8" s="1">
        <f>(荷重解析!H4+荷重解析!H5)/2*0.5*1.293*(荷重解析!C4^2+荷重解析!$B$1^2)*((C9+C8)/2)^2*0.01</f>
        <v>-3.7524569412788171E-4</v>
      </c>
      <c r="Y8" s="1">
        <f>IF(A8=プロパティ!$D$3,S8-プロパティ!$D$8,S8)</f>
        <v>2.21990447E-2</v>
      </c>
      <c r="Z8" s="1">
        <f>SUM(Y9:$Y$91)*(($A9+$A8)/2-$A8)+Z9</f>
        <v>4.6646213205500019E-2</v>
      </c>
      <c r="AA8" s="1">
        <f>AB8*H8/1000/2*一般構造素材物性!$M$7/1000</f>
        <v>2.7572214648546411E-4</v>
      </c>
      <c r="AB8" s="1">
        <f t="shared" si="1"/>
        <v>6.0361933766026896E-3</v>
      </c>
      <c r="AC8" s="1">
        <f t="shared" ref="AC8:AC71" si="13">RADIANS(14)</f>
        <v>0.24434609527920614</v>
      </c>
      <c r="AD8" s="1">
        <f t="shared" ref="AD8:AD53" si="14">IFERROR(DEGREES(AC8),"")</f>
        <v>14</v>
      </c>
      <c r="AE8" s="1">
        <f>AC7*0.01+AE7</f>
        <v>2.4434609527920616E-3</v>
      </c>
      <c r="AF8" s="1">
        <f t="shared" si="2"/>
        <v>2.4434609527920617</v>
      </c>
      <c r="AG8" s="1">
        <f t="shared" ref="AG8:AG53" si="15">AF8-A8*TAN($AC$7)*1000</f>
        <v>1.1968209385761581</v>
      </c>
      <c r="AH8" s="68">
        <f>-2/空力安定性!$G$36*SIN(AC8)^2*C8</f>
        <v>-9.2553066111546151E-2</v>
      </c>
      <c r="AI8" s="1">
        <f t="shared" ref="AI8:AI71" si="16">-2*PI()*0.9*SIN(AC8)*(A8*COS(AC8))*C8</f>
        <v>-1.1282896357288675E-3</v>
      </c>
      <c r="AJ8" s="1">
        <f>-2/空力安定性!$G$36/空力安定性!$G$47*A8*C8*SIN(AC8)</f>
        <v>-1.9128708024159773E-3</v>
      </c>
      <c r="AK8" s="1">
        <f>-4/空力安定性!$G$36/空力安定性!$G$47*A8*SIN(AC8)*COS(AC8)*C8</f>
        <v>-3.7121007290047176E-3</v>
      </c>
      <c r="AL8" s="1">
        <f>-4/空力安定性!$G$36/空力安定性!$G$47^2*COS(AC8)*(A8*COS(AC8)+AE8*SIN(AC8))*C8</f>
        <v>-1.6702497464087428E-2</v>
      </c>
      <c r="AM8" s="1">
        <f>-4/空力安定性!$G$36/空力安定性!$G$47^2*C8*COS(AC8)*A8^2</f>
        <v>-7.6721057426474139E-5</v>
      </c>
      <c r="AN8" s="1">
        <f>4/空力安定性!$G$36/空力安定性!$G$47*2*A8*C8*SIN(AC8)</f>
        <v>7.6514832096639092E-3</v>
      </c>
      <c r="AO8" s="1">
        <f>4/空力安定性!$G$36/空力安定性!$G$47^2*2*(A8*COS(AC8)+AE8*SIN(AC8))*C8*A8</f>
        <v>1.721382153067061E-4</v>
      </c>
      <c r="AP8" s="1">
        <f>8/空力安定性!$G$36/空力安定性!$G$47^2*A8^2*C8</f>
        <v>1.5813953488372093E-4</v>
      </c>
      <c r="AR8" s="1">
        <f>Y8*プロパティ!D$13</f>
        <v>0.13319426819999999</v>
      </c>
      <c r="AS8" s="1">
        <f>V8*プロパティ!$D$13</f>
        <v>8.2539733771006887E-3</v>
      </c>
      <c r="AT8" s="1">
        <f>Z8*プロパティ!D$13</f>
        <v>0.2798772792330001</v>
      </c>
      <c r="AU8" s="1">
        <f>SUM($AS9:AS$67)*(($A9+$A8)/2-$A8)+AU9</f>
        <v>2.5195782246965996E-2</v>
      </c>
      <c r="AV8" s="1">
        <f t="shared" si="3"/>
        <v>3.6217160259616139E-2</v>
      </c>
      <c r="AW8" s="1">
        <f>AV7*0.01+AW7</f>
        <v>3.7965573166271236E-4</v>
      </c>
      <c r="AX8" s="1">
        <f>IFERROR(DEGREES(AW8),"")</f>
        <v>2.1752671092224715E-2</v>
      </c>
      <c r="AY8" s="1">
        <f>AW7*0.01+AY7</f>
        <v>0</v>
      </c>
    </row>
    <row r="9" spans="1:51">
      <c r="A9" s="1">
        <v>0.01</v>
      </c>
      <c r="C9" s="1">
        <v>0.17</v>
      </c>
      <c r="E9" s="1">
        <f t="shared" si="4"/>
        <v>2.8900000000000006E-2</v>
      </c>
      <c r="F9" s="1">
        <f>$C$7*荷重解析!$D$1-C9*(荷重解析!$D$1-0.25)</f>
        <v>4.250000000000001E-2</v>
      </c>
      <c r="G9" s="1">
        <f t="shared" si="5"/>
        <v>7.2250000000000023E-3</v>
      </c>
      <c r="H9" s="1">
        <f t="shared" si="6"/>
        <v>10.150700000000001</v>
      </c>
      <c r="I9" s="1">
        <f t="shared" si="7"/>
        <v>7.7277532867500005</v>
      </c>
      <c r="J9" s="1">
        <f t="shared" si="8"/>
        <v>8.5000000000000006E-4</v>
      </c>
      <c r="K9" s="1">
        <f>C9*0.01*一般構造素材物性!$H$22*2</f>
        <v>3.5360000000000003E-2</v>
      </c>
      <c r="L9" s="1">
        <f>一般構造素材物性!$H$34*0.01*Lavender!H9/1000+一般構造素材物性!$H$20*0.005*0.01*2</f>
        <v>5.1579955555555557E-2</v>
      </c>
      <c r="M9" s="1">
        <f>一般構造素材物性!$H$19*0.01*0.015</f>
        <v>1.35E-2</v>
      </c>
      <c r="N9" s="1">
        <f t="shared" si="9"/>
        <v>1.35E-2</v>
      </c>
      <c r="O9" s="1">
        <f>IF(COUNTIF(Python読み込み用データ!$Q$4:$Q$13,Lavender!A9*1000),1,0)</f>
        <v>0</v>
      </c>
      <c r="P9" s="1">
        <f t="shared" si="10"/>
        <v>1.1393995555555557E-8</v>
      </c>
      <c r="Q9" s="1">
        <f t="shared" si="11"/>
        <v>3.6044646440000005E-7</v>
      </c>
      <c r="S9" s="1">
        <f>荷重解析!E5*0.01</f>
        <v>2.2193052099999999E-2</v>
      </c>
      <c r="T9" s="1">
        <f>(荷重解析!F5+荷重解析!F6)/2*0.01</f>
        <v>9.2682965000000011E-4</v>
      </c>
      <c r="U9" s="1">
        <f>(荷重解析!G5+荷重解析!G6)/2*0.5*1.293*(荷重解析!C5^2+荷重解析!$B$1^2)*((C10+C9)/2)*0.01*COS(RADIANS(荷重解析!D5))</f>
        <v>4.5006954467465482E-4</v>
      </c>
      <c r="V9" s="1">
        <f t="shared" si="12"/>
        <v>1.3768991946746549E-3</v>
      </c>
      <c r="W9" s="1">
        <f>(荷重解析!H5+荷重解析!H6)/2*0.5*1.293*(荷重解析!C5^2+荷重解析!$B$1^2)*((C10+C9)/2)^2*0.01</f>
        <v>-3.7529907315391841E-4</v>
      </c>
      <c r="Y9" s="1">
        <f>IF(A9=プロパティ!$D$3,S9-プロパティ!$D$8,S9)</f>
        <v>2.2193052099999999E-2</v>
      </c>
      <c r="Z9" s="1">
        <f>SUM(Y10:$Y$91)*(($A10+$A9)/2-$A9)+Z10</f>
        <v>4.4449826886250016E-2</v>
      </c>
      <c r="AA9" s="1">
        <f>AB9*H9/1000/2*一般構造素材物性!$M$7/1000</f>
        <v>2.6273947739318483E-4</v>
      </c>
      <c r="AB9" s="1">
        <f t="shared" si="1"/>
        <v>5.7519728227431446E-3</v>
      </c>
      <c r="AC9" s="1">
        <f t="shared" si="13"/>
        <v>0.24434609527920614</v>
      </c>
      <c r="AD9" s="1">
        <f t="shared" si="14"/>
        <v>14</v>
      </c>
      <c r="AE9" s="1">
        <f t="shared" ref="AE9:AE53" si="17">AC8*0.01+AE8</f>
        <v>4.8869219055841231E-3</v>
      </c>
      <c r="AF9" s="1">
        <f t="shared" si="2"/>
        <v>4.8869219055841233</v>
      </c>
      <c r="AG9" s="1">
        <f t="shared" si="15"/>
        <v>2.3936418771523162</v>
      </c>
      <c r="AH9" s="68">
        <f>-2/空力安定性!$G$36*SIN(AC9)^2*C9</f>
        <v>-9.2553066111546151E-2</v>
      </c>
      <c r="AI9" s="1">
        <f t="shared" si="16"/>
        <v>-2.2565792714577351E-3</v>
      </c>
      <c r="AJ9" s="1">
        <f>-2/空力安定性!$G$36/空力安定性!$G$47*A9*C9*SIN(AC9)</f>
        <v>-3.8257416048319546E-3</v>
      </c>
      <c r="AK9" s="1">
        <f>-4/空力安定性!$G$36/空力安定性!$G$47*A9*SIN(AC9)*COS(AC9)*C9</f>
        <v>-7.4242014580094351E-3</v>
      </c>
      <c r="AL9" s="1">
        <f>-4/空力安定性!$G$36/空力安定性!$G$47^2*COS(AC9)*(A9*COS(AC9)+AE9*SIN(AC9))*C9</f>
        <v>-3.3404994928174857E-2</v>
      </c>
      <c r="AM9" s="1">
        <f>-4/空力安定性!$G$36/空力安定性!$G$47^2*C9*COS(AC9)*A9^2</f>
        <v>-3.0688422970589655E-4</v>
      </c>
      <c r="AN9" s="1">
        <f>4/空力安定性!$G$36/空力安定性!$G$47*2*A9*C9*SIN(AC9)</f>
        <v>1.5302966419327818E-2</v>
      </c>
      <c r="AO9" s="1">
        <f>4/空力安定性!$G$36/空力安定性!$G$47^2*2*(A9*COS(AC9)+AE9*SIN(AC9))*C9*A9</f>
        <v>6.8855286122682438E-4</v>
      </c>
      <c r="AP9" s="1">
        <f>8/空力安定性!$G$36/空力安定性!$G$47^2*A9^2*C9</f>
        <v>6.3255813953488373E-4</v>
      </c>
      <c r="AR9" s="1">
        <f>Y9*プロパティ!D$13</f>
        <v>0.1331583126</v>
      </c>
      <c r="AS9" s="1">
        <f>V9*プロパティ!$D$13</f>
        <v>8.2613951680479292E-3</v>
      </c>
      <c r="AT9" s="1">
        <f>Z9*プロパティ!D$13</f>
        <v>0.26669896131750009</v>
      </c>
      <c r="AU9" s="1">
        <f>SUM($AS10:AS$67)*(($A10+$A9)/2-$A9)+AU10</f>
        <v>2.4148538471157385E-2</v>
      </c>
      <c r="AV9" s="1">
        <f t="shared" si="3"/>
        <v>3.4511836936458866E-2</v>
      </c>
      <c r="AW9" s="1">
        <f t="shared" ref="AW9:AW53" si="18">AV8*0.01+AW8</f>
        <v>7.4182733425887375E-4</v>
      </c>
      <c r="AX9" s="1">
        <f t="shared" ref="AX9:AX53" si="19">IFERROR(DEGREES(AW9),"")</f>
        <v>4.250357538047405E-2</v>
      </c>
      <c r="AY9" s="1">
        <f t="shared" ref="AY9:AY53" si="20">AW8*0.01+AY8</f>
        <v>3.7965573166271237E-6</v>
      </c>
    </row>
    <row r="10" spans="1:51">
      <c r="A10" s="1">
        <v>1.4999999999999999E-2</v>
      </c>
      <c r="C10" s="1">
        <v>0.17</v>
      </c>
      <c r="E10" s="1">
        <f t="shared" si="4"/>
        <v>2.8900000000000006E-2</v>
      </c>
      <c r="F10" s="1">
        <f>$C$7*荷重解析!$D$1-C10*(荷重解析!$D$1-0.25)</f>
        <v>4.250000000000001E-2</v>
      </c>
      <c r="G10" s="1">
        <f t="shared" si="5"/>
        <v>7.2250000000000023E-3</v>
      </c>
      <c r="H10" s="1">
        <f t="shared" si="6"/>
        <v>10.150700000000001</v>
      </c>
      <c r="I10" s="1">
        <f t="shared" si="7"/>
        <v>7.7277532867500005</v>
      </c>
      <c r="J10" s="1">
        <f t="shared" si="8"/>
        <v>8.5000000000000006E-4</v>
      </c>
      <c r="K10" s="1">
        <f>C10*0.01*一般構造素材物性!$H$22*2</f>
        <v>3.5360000000000003E-2</v>
      </c>
      <c r="L10" s="1">
        <f>一般構造素材物性!$H$34*0.01*Lavender!H10/1000+一般構造素材物性!$H$20*0.005*0.01*2</f>
        <v>5.1579955555555557E-2</v>
      </c>
      <c r="M10" s="1">
        <f>一般構造素材物性!$H$19*0.01*0.015</f>
        <v>1.35E-2</v>
      </c>
      <c r="N10" s="1">
        <f t="shared" si="9"/>
        <v>1.35E-2</v>
      </c>
      <c r="O10" s="1">
        <f>IF(COUNTIF(Python読み込み用データ!$Q$4:$Q$13,Lavender!A10*1000),1,0)</f>
        <v>0</v>
      </c>
      <c r="P10" s="1">
        <f t="shared" si="10"/>
        <v>2.5636489999999999E-8</v>
      </c>
      <c r="Q10" s="1">
        <f t="shared" si="11"/>
        <v>3.6044646440000005E-7</v>
      </c>
      <c r="S10" s="1">
        <f>荷重解析!E6*0.01</f>
        <v>2.2183042E-2</v>
      </c>
      <c r="T10" s="1">
        <f>(荷重解析!F6+荷重解析!F7)/2*0.01</f>
        <v>9.2829295000000005E-4</v>
      </c>
      <c r="U10" s="1">
        <f>(荷重解析!G6+荷重解析!G7)/2*0.5*1.293*(荷重解析!C6^2+荷重解析!$B$1^2)*((C11+C10)/2)*0.01*COS(RADIANS(荷重解析!D6))</f>
        <v>4.5046579980330154E-4</v>
      </c>
      <c r="V10" s="1">
        <f t="shared" si="12"/>
        <v>1.3787587498033016E-3</v>
      </c>
      <c r="W10" s="1">
        <f>(荷重解析!H6+荷重解析!H7)/2*0.5*1.293*(荷重解析!C6^2+荷重解析!$B$1^2)*((C11+C10)/2)^2*0.01</f>
        <v>-3.753796285282156E-4</v>
      </c>
      <c r="Y10" s="1">
        <f>IF(A10=プロパティ!$D$3,S10-プロパティ!$D$8,S10)</f>
        <v>2.2183042E-2</v>
      </c>
      <c r="Z10" s="1">
        <f>SUM(Y11:$Y$91)*(($A11+$A10)/2-$A10)+Z11</f>
        <v>4.2308923197250013E-2</v>
      </c>
      <c r="AA10" s="1">
        <f>AB10*H10/1000/2*一般構造素材物性!$M$7/1000</f>
        <v>2.5008476182283E-4</v>
      </c>
      <c r="AB10" s="1">
        <f t="shared" si="1"/>
        <v>5.4749319274714501E-3</v>
      </c>
      <c r="AC10" s="1">
        <f t="shared" si="13"/>
        <v>0.24434609527920614</v>
      </c>
      <c r="AD10" s="1">
        <f t="shared" si="14"/>
        <v>14</v>
      </c>
      <c r="AE10" s="1">
        <f t="shared" si="17"/>
        <v>7.3303828583761842E-3</v>
      </c>
      <c r="AF10" s="1">
        <f t="shared" si="2"/>
        <v>7.3303828583761845</v>
      </c>
      <c r="AG10" s="1">
        <f t="shared" si="15"/>
        <v>3.5904628157284741</v>
      </c>
      <c r="AH10" s="68">
        <f>-2/空力安定性!$G$36*SIN(AC10)^2*C10</f>
        <v>-9.2553066111546151E-2</v>
      </c>
      <c r="AI10" s="1">
        <f t="shared" si="16"/>
        <v>-3.3848689071866028E-3</v>
      </c>
      <c r="AJ10" s="1">
        <f>-2/空力安定性!$G$36/空力安定性!$G$47*A10*C10*SIN(AC10)</f>
        <v>-5.7386124072479313E-3</v>
      </c>
      <c r="AK10" s="1">
        <f>-4/空力安定性!$G$36/空力安定性!$G$47*A10*SIN(AC10)*COS(AC10)*C10</f>
        <v>-1.1136302187014151E-2</v>
      </c>
      <c r="AL10" s="1">
        <f>-4/空力安定性!$G$36/空力安定性!$G$47^2*COS(AC10)*(A10*COS(AC10)+AE10*SIN(AC10))*C10</f>
        <v>-5.0107492392262275E-2</v>
      </c>
      <c r="AM10" s="1">
        <f>-4/空力安定性!$G$36/空力安定性!$G$47^2*C10*COS(AC10)*A10^2</f>
        <v>-6.9048951683826725E-4</v>
      </c>
      <c r="AN10" s="1">
        <f>4/空力安定性!$G$36/空力安定性!$G$47*2*A10*C10*SIN(AC10)</f>
        <v>2.2954449628991725E-2</v>
      </c>
      <c r="AO10" s="1">
        <f>4/空力安定性!$G$36/空力安定性!$G$47^2*2*(A10*COS(AC10)+AE10*SIN(AC10))*C10*A10</f>
        <v>1.5492439377603547E-3</v>
      </c>
      <c r="AP10" s="1">
        <f>8/空力安定性!$G$36/空力安定性!$G$47^2*A10^2*C10</f>
        <v>1.4232558139534884E-3</v>
      </c>
      <c r="AR10" s="1">
        <f>Y10*プロパティ!D$13</f>
        <v>0.133098252</v>
      </c>
      <c r="AS10" s="1">
        <f>V10*プロパティ!$D$13</f>
        <v>8.2725524988198091E-3</v>
      </c>
      <c r="AT10" s="1">
        <f>Z10*プロパティ!D$13</f>
        <v>0.25385353918350007</v>
      </c>
      <c r="AU10" s="1">
        <f>SUM($AS11:AS$67)*(($A11+$A10)/2-$A10)+AU11</f>
        <v>2.3121948183268893E-2</v>
      </c>
      <c r="AV10" s="1">
        <f t="shared" si="3"/>
        <v>3.2849591564828695E-2</v>
      </c>
      <c r="AW10" s="1">
        <f t="shared" si="18"/>
        <v>1.0869457036234624E-3</v>
      </c>
      <c r="AX10" s="1">
        <f t="shared" si="19"/>
        <v>6.2277401377502026E-2</v>
      </c>
      <c r="AY10" s="1">
        <f t="shared" si="20"/>
        <v>1.1214830659215861E-5</v>
      </c>
    </row>
    <row r="11" spans="1:51">
      <c r="A11" s="1">
        <v>0.02</v>
      </c>
      <c r="C11" s="1">
        <v>0.17</v>
      </c>
      <c r="E11" s="1">
        <f t="shared" si="4"/>
        <v>2.8900000000000006E-2</v>
      </c>
      <c r="F11" s="1">
        <f>$C$7*荷重解析!$D$1-C11*(荷重解析!$D$1-0.25)</f>
        <v>4.250000000000001E-2</v>
      </c>
      <c r="G11" s="1">
        <f t="shared" si="5"/>
        <v>7.2250000000000023E-3</v>
      </c>
      <c r="H11" s="1">
        <f t="shared" si="6"/>
        <v>10.150700000000001</v>
      </c>
      <c r="I11" s="1">
        <f t="shared" si="7"/>
        <v>7.7277532867500005</v>
      </c>
      <c r="J11" s="1">
        <f t="shared" si="8"/>
        <v>8.5000000000000006E-4</v>
      </c>
      <c r="K11" s="1">
        <f>C11*0.01*一般構造素材物性!$H$22*2</f>
        <v>3.5360000000000003E-2</v>
      </c>
      <c r="L11" s="1">
        <f>一般構造素材物性!$H$34*0.01*Lavender!H11/1000+一般構造素材物性!$H$20*0.005*0.01*2</f>
        <v>5.1579955555555557E-2</v>
      </c>
      <c r="M11" s="1">
        <f>一般構造素材物性!$H$19*0.01*0.015</f>
        <v>1.35E-2</v>
      </c>
      <c r="N11" s="1">
        <f t="shared" si="9"/>
        <v>1.35E-2</v>
      </c>
      <c r="O11" s="1">
        <f>IF(COUNTIF(Python読み込み用データ!$Q$4:$Q$13,Lavender!A11*1000),1,0)</f>
        <v>0</v>
      </c>
      <c r="P11" s="1">
        <f t="shared" si="10"/>
        <v>4.5575982222222229E-8</v>
      </c>
      <c r="Q11" s="1">
        <f t="shared" si="11"/>
        <v>3.6044646440000005E-7</v>
      </c>
      <c r="S11" s="1">
        <f>荷重解析!E7*0.01</f>
        <v>2.21689737E-2</v>
      </c>
      <c r="T11" s="1">
        <f>(荷重解析!F7+荷重解析!F8)/2*0.01</f>
        <v>9.3024969999999998E-4</v>
      </c>
      <c r="U11" s="1">
        <f>(荷重解析!G7+荷重解析!G8)/2*0.5*1.293*(荷重解析!C7^2+荷重解析!$B$1^2)*((C12+C11)/2)*0.01*COS(RADIANS(荷重解析!D7))</f>
        <v>4.5099670533221939E-4</v>
      </c>
      <c r="V11" s="1">
        <f t="shared" si="12"/>
        <v>1.3812464053322194E-3</v>
      </c>
      <c r="W11" s="1">
        <f>(荷重解析!H7+荷重解析!H8)/2*0.5*1.293*(荷重解析!C7^2+荷重解析!$B$1^2)*((C12+C11)/2)^2*0.01</f>
        <v>-3.7548754057969757E-4</v>
      </c>
      <c r="Y11" s="1">
        <f>IF(A11=プロパティ!$D$3,S11-プロパティ!$D$8,S11)</f>
        <v>2.21689737E-2</v>
      </c>
      <c r="Z11" s="1">
        <f>SUM(Y12:$Y$91)*(($A12+$A11)/2-$A11)+Z12</f>
        <v>4.0223477113250014E-2</v>
      </c>
      <c r="AA11" s="1">
        <f>AB11*H11/1000/2*一般構造素材物性!$M$7/1000</f>
        <v>2.3775785185208909E-4</v>
      </c>
      <c r="AB11" s="1">
        <f t="shared" si="1"/>
        <v>5.2050674524272344E-3</v>
      </c>
      <c r="AC11" s="1">
        <f t="shared" si="13"/>
        <v>0.24434609527920614</v>
      </c>
      <c r="AD11" s="1">
        <f t="shared" si="14"/>
        <v>14</v>
      </c>
      <c r="AE11" s="1">
        <f t="shared" si="17"/>
        <v>9.7738438111682462E-3</v>
      </c>
      <c r="AF11" s="1">
        <f t="shared" si="2"/>
        <v>9.7738438111682466</v>
      </c>
      <c r="AG11" s="1">
        <f t="shared" si="15"/>
        <v>4.7872837543046325</v>
      </c>
      <c r="AH11" s="68">
        <f>-2/空力安定性!$G$36*SIN(AC11)^2*C11</f>
        <v>-9.2553066111546151E-2</v>
      </c>
      <c r="AI11" s="1">
        <f t="shared" si="16"/>
        <v>-4.5131585429154701E-3</v>
      </c>
      <c r="AJ11" s="1">
        <f>-2/空力安定性!$G$36/空力安定性!$G$47*A11*C11*SIN(AC11)</f>
        <v>-7.6514832096639092E-3</v>
      </c>
      <c r="AK11" s="1">
        <f>-4/空力安定性!$G$36/空力安定性!$G$47*A11*SIN(AC11)*COS(AC11)*C11</f>
        <v>-1.484840291601887E-2</v>
      </c>
      <c r="AL11" s="1">
        <f>-4/空力安定性!$G$36/空力安定性!$G$47^2*COS(AC11)*(A11*COS(AC11)+AE11*SIN(AC11))*C11</f>
        <v>-6.6809989856349714E-2</v>
      </c>
      <c r="AM11" s="1">
        <f>-4/空力安定性!$G$36/空力安定性!$G$47^2*C11*COS(AC11)*A11^2</f>
        <v>-1.2275369188235862E-3</v>
      </c>
      <c r="AN11" s="1">
        <f>4/空力安定性!$G$36/空力安定性!$G$47*2*A11*C11*SIN(AC11)</f>
        <v>3.0605932838655637E-2</v>
      </c>
      <c r="AO11" s="1">
        <f>4/空力安定性!$G$36/空力安定性!$G$47^2*2*(A11*COS(AC11)+AE11*SIN(AC11))*C11*A11</f>
        <v>2.7542114449072975E-3</v>
      </c>
      <c r="AP11" s="1">
        <f>8/空力安定性!$G$36/空力安定性!$G$47^2*A11^2*C11</f>
        <v>2.5302325581395349E-3</v>
      </c>
      <c r="AR11" s="1">
        <f>Y11*プロパティ!D$13</f>
        <v>0.13301384220000001</v>
      </c>
      <c r="AS11" s="1">
        <f>V11*プロパティ!$D$13</f>
        <v>8.287478431993317E-3</v>
      </c>
      <c r="AT11" s="1">
        <f>Z11*プロパティ!D$13</f>
        <v>0.24134086267950008</v>
      </c>
      <c r="AU11" s="1">
        <f>SUM($AS12:AS$67)*(($A12+$A11)/2-$A11)+AU12</f>
        <v>2.2116039276627451E-2</v>
      </c>
      <c r="AV11" s="1">
        <f t="shared" si="3"/>
        <v>3.1230404714563408E-2</v>
      </c>
      <c r="AW11" s="1">
        <f t="shared" si="18"/>
        <v>1.4154416192717493E-3</v>
      </c>
      <c r="AX11" s="1">
        <f t="shared" si="19"/>
        <v>8.1098830931434357E-2</v>
      </c>
      <c r="AY11" s="1">
        <f t="shared" si="20"/>
        <v>2.2084287695450485E-5</v>
      </c>
    </row>
    <row r="12" spans="1:51">
      <c r="A12" s="1">
        <v>2.5000000000000001E-2</v>
      </c>
      <c r="C12" s="1">
        <v>0.17</v>
      </c>
      <c r="E12" s="1">
        <f t="shared" si="4"/>
        <v>2.8900000000000006E-2</v>
      </c>
      <c r="F12" s="1">
        <f>$C$7*荷重解析!$D$1-C12*(荷重解析!$D$1-0.25)</f>
        <v>4.250000000000001E-2</v>
      </c>
      <c r="G12" s="1">
        <f t="shared" si="5"/>
        <v>7.2250000000000023E-3</v>
      </c>
      <c r="H12" s="1">
        <f t="shared" si="6"/>
        <v>10.150700000000001</v>
      </c>
      <c r="I12" s="1">
        <f t="shared" si="7"/>
        <v>7.7277532867500005</v>
      </c>
      <c r="J12" s="1">
        <f t="shared" si="8"/>
        <v>8.5000000000000006E-4</v>
      </c>
      <c r="K12" s="1">
        <f>C12*0.01*一般構造素材物性!$H$22*2</f>
        <v>3.5360000000000003E-2</v>
      </c>
      <c r="L12" s="1">
        <f>一般構造素材物性!$H$34*0.01*Lavender!H12/1000+一般構造素材物性!$H$20*0.005*0.01*2</f>
        <v>5.1579955555555557E-2</v>
      </c>
      <c r="M12" s="1">
        <f>一般構造素材物性!$H$19*0.01*0.015</f>
        <v>1.35E-2</v>
      </c>
      <c r="N12" s="1">
        <f t="shared" si="9"/>
        <v>1.35E-2</v>
      </c>
      <c r="O12" s="1">
        <f>IF(COUNTIF(Python読み込み用データ!$Q$4:$Q$13,Lavender!A12*1000),1,0)</f>
        <v>0</v>
      </c>
      <c r="P12" s="1">
        <f t="shared" si="10"/>
        <v>7.1212472222222238E-8</v>
      </c>
      <c r="Q12" s="1">
        <f t="shared" si="11"/>
        <v>3.6044646440000005E-7</v>
      </c>
      <c r="S12" s="1">
        <f>荷重解析!E8*0.01</f>
        <v>2.2150789600000002E-2</v>
      </c>
      <c r="T12" s="1">
        <f>(荷重解析!F8+荷重解析!F9)/2*0.01</f>
        <v>9.3270495000000013E-4</v>
      </c>
      <c r="U12" s="1">
        <f>(荷重解析!G8+荷重解析!G9)/2*0.5*1.293*(荷重解析!C8^2+荷重解析!$B$1^2)*((C13+C12)/2)*0.01*COS(RADIANS(荷重解析!D8))</f>
        <v>4.5166441171965593E-4</v>
      </c>
      <c r="V12" s="1">
        <f t="shared" si="12"/>
        <v>1.3843693617196561E-3</v>
      </c>
      <c r="W12" s="1">
        <f>(荷重解析!H8+荷重解析!H9)/2*0.5*1.293*(荷重解析!C8^2+荷重解析!$B$1^2)*((C13+C12)/2)^2*0.01</f>
        <v>-3.7562349151996612E-4</v>
      </c>
      <c r="Y12" s="1">
        <f>IF(A12=プロパティ!$D$3,S12-プロパティ!$D$8,S12)</f>
        <v>2.2150789600000002E-2</v>
      </c>
      <c r="Z12" s="1">
        <f>SUM(Y13:$Y$91)*(($A13+$A12)/2-$A12)+Z13</f>
        <v>3.8193453463500011E-2</v>
      </c>
      <c r="AA12" s="1">
        <f>AB12*H12/1000/2*一般構造素材物性!$M$7/1000</f>
        <v>2.2575853958938798E-4</v>
      </c>
      <c r="AB12" s="1">
        <f t="shared" si="1"/>
        <v>4.9423748463847152E-3</v>
      </c>
      <c r="AC12" s="1">
        <f t="shared" si="13"/>
        <v>0.24434609527920614</v>
      </c>
      <c r="AD12" s="1">
        <f t="shared" si="14"/>
        <v>14</v>
      </c>
      <c r="AE12" s="1">
        <f t="shared" si="17"/>
        <v>1.2217304763960308E-2</v>
      </c>
      <c r="AF12" s="1">
        <f t="shared" si="2"/>
        <v>12.217304763960309</v>
      </c>
      <c r="AG12" s="1">
        <f t="shared" si="15"/>
        <v>5.9841046928807913</v>
      </c>
      <c r="AH12" s="68">
        <f>-2/空力安定性!$G$36*SIN(AC12)^2*C12</f>
        <v>-9.2553066111546151E-2</v>
      </c>
      <c r="AI12" s="1">
        <f t="shared" si="16"/>
        <v>-5.6414481786443383E-3</v>
      </c>
      <c r="AJ12" s="1">
        <f>-2/空力安定性!$G$36/空力安定性!$G$47*A12*C12*SIN(AC12)</f>
        <v>-9.5643540120798863E-3</v>
      </c>
      <c r="AK12" s="1">
        <f>-4/空力安定性!$G$36/空力安定性!$G$47*A12*SIN(AC12)*COS(AC12)*C12</f>
        <v>-1.8560503645023589E-2</v>
      </c>
      <c r="AL12" s="1">
        <f>-4/空力安定性!$G$36/空力安定性!$G$47^2*COS(AC12)*(A12*COS(AC12)+AE12*SIN(AC12))*C12</f>
        <v>-8.3512487320437132E-2</v>
      </c>
      <c r="AM12" s="1">
        <f>-4/空力安定性!$G$36/空力安定性!$G$47^2*C12*COS(AC12)*A12^2</f>
        <v>-1.9180264356618538E-3</v>
      </c>
      <c r="AN12" s="1">
        <f>4/空力安定性!$G$36/空力安定性!$G$47*2*A12*C12*SIN(AC12)</f>
        <v>3.8257416048319545E-2</v>
      </c>
      <c r="AO12" s="1">
        <f>4/空力安定性!$G$36/空力安定性!$G$47^2*2*(A12*COS(AC12)+AE12*SIN(AC12))*C12*A12</f>
        <v>4.3034553826676531E-3</v>
      </c>
      <c r="AP12" s="1">
        <f>8/空力安定性!$G$36/空力安定性!$G$47^2*A12^2*C12</f>
        <v>3.9534883720930237E-3</v>
      </c>
      <c r="AR12" s="1">
        <f>Y12*プロパティ!D$13</f>
        <v>0.13290473760000002</v>
      </c>
      <c r="AS12" s="1">
        <f>V12*プロパティ!$D$13</f>
        <v>8.3062161703179368E-3</v>
      </c>
      <c r="AT12" s="1">
        <f>Z12*プロパティ!D$13</f>
        <v>0.22916072078100008</v>
      </c>
      <c r="AU12" s="1">
        <f>SUM($AS13:AS$67)*(($A13+$A12)/2-$A12)+AU13</f>
        <v>2.1130849066065993E-2</v>
      </c>
      <c r="AV12" s="1">
        <f t="shared" si="3"/>
        <v>2.9654249078308294E-2</v>
      </c>
      <c r="AW12" s="1">
        <f t="shared" si="18"/>
        <v>1.7277456664173832E-3</v>
      </c>
      <c r="AX12" s="1">
        <f t="shared" si="19"/>
        <v>9.8992534757733869E-2</v>
      </c>
      <c r="AY12" s="1">
        <f t="shared" si="20"/>
        <v>3.6238703888167982E-5</v>
      </c>
    </row>
    <row r="13" spans="1:51">
      <c r="A13" s="1">
        <v>0.03</v>
      </c>
      <c r="C13" s="1">
        <v>0.17</v>
      </c>
      <c r="E13" s="1">
        <f t="shared" si="4"/>
        <v>2.8900000000000006E-2</v>
      </c>
      <c r="F13" s="1">
        <f>$C$7*荷重解析!$D$1-C13*(荷重解析!$D$1-0.25)</f>
        <v>4.250000000000001E-2</v>
      </c>
      <c r="G13" s="1">
        <f t="shared" si="5"/>
        <v>7.2250000000000023E-3</v>
      </c>
      <c r="H13" s="1">
        <f t="shared" si="6"/>
        <v>10.150700000000001</v>
      </c>
      <c r="I13" s="1">
        <f t="shared" si="7"/>
        <v>7.7277532867500005</v>
      </c>
      <c r="J13" s="1">
        <f t="shared" si="8"/>
        <v>8.5000000000000006E-4</v>
      </c>
      <c r="K13" s="1">
        <f>C13*0.01*一般構造素材物性!$H$22*2</f>
        <v>3.5360000000000003E-2</v>
      </c>
      <c r="L13" s="1">
        <f>一般構造素材物性!$H$34*0.01*Lavender!H13/1000+一般構造素材物性!$H$20*0.005*0.01*2</f>
        <v>5.1579955555555557E-2</v>
      </c>
      <c r="M13" s="1">
        <f>一般構造素材物性!$H$19*0.01*0.015</f>
        <v>1.35E-2</v>
      </c>
      <c r="N13" s="1">
        <f t="shared" si="9"/>
        <v>1.35E-2</v>
      </c>
      <c r="O13" s="1">
        <f>IF(COUNTIF(Python読み込み用データ!$Q$4:$Q$13,Lavender!A13*1000),1,0)</f>
        <v>0</v>
      </c>
      <c r="P13" s="1">
        <f t="shared" si="10"/>
        <v>1.0254596E-7</v>
      </c>
      <c r="Q13" s="1">
        <f t="shared" si="11"/>
        <v>3.6044646440000005E-7</v>
      </c>
      <c r="S13" s="1">
        <f>荷重解析!E9*0.01</f>
        <v>2.21284146E-2</v>
      </c>
      <c r="T13" s="1">
        <f>(荷重解析!F9+荷重解析!F10)/2*0.01</f>
        <v>9.3566515000000007E-4</v>
      </c>
      <c r="U13" s="1">
        <f>(荷重解析!G9+荷重解析!G10)/2*0.5*1.293*(荷重解析!C9^2+荷重解析!$B$1^2)*((C14+C13)/2)*0.01*COS(RADIANS(荷重解析!D9))</f>
        <v>4.5247165646400259E-4</v>
      </c>
      <c r="V13" s="1">
        <f t="shared" si="12"/>
        <v>1.3881368064640027E-3</v>
      </c>
      <c r="W13" s="1">
        <f>(荷重解析!H9+荷重解析!H10)/2*0.5*1.293*(荷重解析!C9^2+荷重解析!$B$1^2)*((C14+C13)/2)^2*0.01</f>
        <v>-3.7578800523613835E-4</v>
      </c>
      <c r="Y13" s="1">
        <f>IF(A13=プロパティ!$D$3,S13-プロパティ!$D$8,S13)</f>
        <v>2.21284146E-2</v>
      </c>
      <c r="Z13" s="1">
        <f>SUM(Y14:$Y$91)*(($A14+$A13)/2-$A13)+Z14</f>
        <v>3.621880678775001E-2</v>
      </c>
      <c r="AA13" s="1">
        <f>AB13*H13/1000/2*一般構造素材物性!$M$7/1000</f>
        <v>2.140865563227167E-4</v>
      </c>
      <c r="AB13" s="1">
        <f t="shared" si="1"/>
        <v>4.6868482266185629E-3</v>
      </c>
      <c r="AC13" s="1">
        <f t="shared" si="13"/>
        <v>0.24434609527920614</v>
      </c>
      <c r="AD13" s="1">
        <f t="shared" si="14"/>
        <v>14</v>
      </c>
      <c r="AE13" s="1">
        <f t="shared" si="17"/>
        <v>1.466076571675237E-2</v>
      </c>
      <c r="AF13" s="1">
        <f t="shared" si="2"/>
        <v>14.660765716752371</v>
      </c>
      <c r="AG13" s="1">
        <f t="shared" si="15"/>
        <v>7.1809256314569501</v>
      </c>
      <c r="AH13" s="68">
        <f>-2/空力安定性!$G$36*SIN(AC13)^2*C13</f>
        <v>-9.2553066111546151E-2</v>
      </c>
      <c r="AI13" s="1">
        <f t="shared" si="16"/>
        <v>-6.7697378143732057E-3</v>
      </c>
      <c r="AJ13" s="1">
        <f>-2/空力安定性!$G$36/空力安定性!$G$47*A13*C13*SIN(AC13)</f>
        <v>-1.1477224814495863E-2</v>
      </c>
      <c r="AK13" s="1">
        <f>-4/空力安定性!$G$36/空力安定性!$G$47*A13*SIN(AC13)*COS(AC13)*C13</f>
        <v>-2.2272604374028303E-2</v>
      </c>
      <c r="AL13" s="1">
        <f>-4/空力安定性!$G$36/空力安定性!$G$47^2*COS(AC13)*(A13*COS(AC13)+AE13*SIN(AC13))*C13</f>
        <v>-0.10021498478452455</v>
      </c>
      <c r="AM13" s="1">
        <f>-4/空力安定性!$G$36/空力安定性!$G$47^2*C13*COS(AC13)*A13^2</f>
        <v>-2.761958067353069E-3</v>
      </c>
      <c r="AN13" s="1">
        <f>4/空力安定性!$G$36/空力安定性!$G$47*2*A13*C13*SIN(AC13)</f>
        <v>4.590889925798345E-2</v>
      </c>
      <c r="AO13" s="1">
        <f>4/空力安定性!$G$36/空力安定性!$G$47^2*2*(A13*COS(AC13)+AE13*SIN(AC13))*C13*A13</f>
        <v>6.1969757510414187E-3</v>
      </c>
      <c r="AP13" s="1">
        <f>8/空力安定性!$G$36/空力安定性!$G$47^2*A13^2*C13</f>
        <v>5.6930232558139535E-3</v>
      </c>
      <c r="AR13" s="1">
        <f>Y13*プロパティ!D$13</f>
        <v>0.13277048759999999</v>
      </c>
      <c r="AS13" s="1">
        <f>V13*プロパティ!$D$13</f>
        <v>8.3288208387840151E-3</v>
      </c>
      <c r="AT13" s="1">
        <f>Z13*プロパティ!D$13</f>
        <v>0.21731284072650006</v>
      </c>
      <c r="AU13" s="1">
        <f>SUM($AS14:AS$67)*(($A14+$A13)/2-$A13)+AU14</f>
        <v>2.0166424395930329E-2</v>
      </c>
      <c r="AV13" s="1">
        <f t="shared" si="3"/>
        <v>2.8121089359711377E-2</v>
      </c>
      <c r="AW13" s="1">
        <f t="shared" si="18"/>
        <v>2.0242881572004661E-3</v>
      </c>
      <c r="AX13" s="1">
        <f t="shared" si="19"/>
        <v>0.11598316792590163</v>
      </c>
      <c r="AY13" s="1">
        <f t="shared" si="20"/>
        <v>5.3516160552341814E-5</v>
      </c>
    </row>
    <row r="14" spans="1:51">
      <c r="A14" s="1">
        <v>3.5000000000000003E-2</v>
      </c>
      <c r="C14" s="1">
        <v>0.17</v>
      </c>
      <c r="E14" s="1">
        <f t="shared" si="4"/>
        <v>2.8900000000000006E-2</v>
      </c>
      <c r="F14" s="1">
        <f>$C$7*荷重解析!$D$1-C14*(荷重解析!$D$1-0.25)</f>
        <v>4.250000000000001E-2</v>
      </c>
      <c r="G14" s="1">
        <f t="shared" si="5"/>
        <v>7.2250000000000023E-3</v>
      </c>
      <c r="H14" s="1">
        <f t="shared" si="6"/>
        <v>10.150700000000001</v>
      </c>
      <c r="I14" s="1">
        <f t="shared" si="7"/>
        <v>7.7277532867500005</v>
      </c>
      <c r="J14" s="1">
        <f t="shared" si="8"/>
        <v>8.5000000000000006E-4</v>
      </c>
      <c r="K14" s="1">
        <f>C14*0.01*一般構造素材物性!$H$22*2</f>
        <v>3.5360000000000003E-2</v>
      </c>
      <c r="L14" s="1">
        <f>一般構造素材物性!$H$34*0.01*Lavender!H14/1000+一般構造素材物性!$H$20*0.005*0.01*2</f>
        <v>5.1579955555555557E-2</v>
      </c>
      <c r="M14" s="1">
        <f>一般構造素材物性!$H$19*0.01*0.015</f>
        <v>1.35E-2</v>
      </c>
      <c r="N14" s="1">
        <f t="shared" si="9"/>
        <v>1.35E-2</v>
      </c>
      <c r="O14" s="1">
        <f>IF(COUNTIF(Python読み込み用データ!$Q$4:$Q$13,Lavender!A14*1000),1,0)</f>
        <v>0</v>
      </c>
      <c r="P14" s="1">
        <f t="shared" si="10"/>
        <v>1.3957644555555557E-7</v>
      </c>
      <c r="Q14" s="1">
        <f t="shared" si="11"/>
        <v>3.6044646440000005E-7</v>
      </c>
      <c r="S14" s="1">
        <f>荷重解析!E10*0.01</f>
        <v>2.21017552E-2</v>
      </c>
      <c r="T14" s="1">
        <f>(荷重解析!F10+荷重解析!F11)/2*0.01</f>
        <v>9.3913815000000011E-4</v>
      </c>
      <c r="U14" s="1">
        <f>(荷重解析!G10+荷重解析!G11)/2*0.5*1.293*(荷重解析!C10^2+荷重解析!$B$1^2)*((C15+C14)/2)*0.01*COS(RADIANS(荷重解析!D10))</f>
        <v>4.5342991419347302E-4</v>
      </c>
      <c r="V14" s="1">
        <f t="shared" si="12"/>
        <v>1.3925680641934731E-3</v>
      </c>
      <c r="W14" s="1">
        <f>(荷重解析!H10+荷重解析!H11)/2*0.5*1.293*(荷重解析!C10^2+荷重解析!$B$1^2)*((C15+C14)/2)^2*0.01</f>
        <v>-3.7598887647323834E-4</v>
      </c>
      <c r="Y14" s="1">
        <f>IF(A14=プロパティ!$D$3,S14-プロパティ!$D$8,S14)</f>
        <v>2.21017552E-2</v>
      </c>
      <c r="Z14" s="1">
        <f>SUM(Y15:$Y$91)*(($A15+$A14)/2-$A14)+Z15</f>
        <v>3.4299481148500011E-2</v>
      </c>
      <c r="AA14" s="1">
        <f>AB14*H14/1000/2*一般構造素材物性!$M$7/1000</f>
        <v>2.0274157140985356E-4</v>
      </c>
      <c r="AB14" s="1">
        <f t="shared" si="1"/>
        <v>4.438480354608353E-3</v>
      </c>
      <c r="AC14" s="1">
        <f t="shared" si="13"/>
        <v>0.24434609527920614</v>
      </c>
      <c r="AD14" s="1">
        <f t="shared" si="14"/>
        <v>14</v>
      </c>
      <c r="AE14" s="1">
        <f t="shared" si="17"/>
        <v>1.710422666954443E-2</v>
      </c>
      <c r="AF14" s="1">
        <f t="shared" si="2"/>
        <v>17.104226669544431</v>
      </c>
      <c r="AG14" s="1">
        <f t="shared" si="15"/>
        <v>8.3777465700331071</v>
      </c>
      <c r="AH14" s="68">
        <f>-2/空力安定性!$G$36*SIN(AC14)^2*C14</f>
        <v>-9.2553066111546151E-2</v>
      </c>
      <c r="AI14" s="1">
        <f t="shared" si="16"/>
        <v>-7.8980274501020738E-3</v>
      </c>
      <c r="AJ14" s="1">
        <f>-2/空力安定性!$G$36/空力安定性!$G$47*A14*C14*SIN(AC14)</f>
        <v>-1.339009561691184E-2</v>
      </c>
      <c r="AK14" s="1">
        <f>-4/空力安定性!$G$36/空力安定性!$G$47*A14*SIN(AC14)*COS(AC14)*C14</f>
        <v>-2.5984705103033023E-2</v>
      </c>
      <c r="AL14" s="1">
        <f>-4/空力安定性!$G$36/空力安定性!$G$47^2*COS(AC14)*(A14*COS(AC14)+AE14*SIN(AC14))*C14</f>
        <v>-0.11691748224861197</v>
      </c>
      <c r="AM14" s="1">
        <f>-4/空力安定性!$G$36/空力安定性!$G$47^2*C14*COS(AC14)*A14^2</f>
        <v>-3.7593318138972333E-3</v>
      </c>
      <c r="AN14" s="1">
        <f>4/空力安定性!$G$36/空力安定性!$G$47*2*A14*C14*SIN(AC14)</f>
        <v>5.3560382467647362E-2</v>
      </c>
      <c r="AO14" s="1">
        <f>4/空力安定性!$G$36/空力安定性!$G$47^2*2*(A14*COS(AC14)+AE14*SIN(AC14))*C14*A14</f>
        <v>8.4347725500285992E-3</v>
      </c>
      <c r="AP14" s="1">
        <f>8/空力安定性!$G$36/空力安定性!$G$47^2*A14^2*C14</f>
        <v>7.7488372093023269E-3</v>
      </c>
      <c r="AR14" s="1">
        <f>Y14*プロパティ!D$13</f>
        <v>0.13261053119999999</v>
      </c>
      <c r="AS14" s="1">
        <f>V14*プロパティ!$D$13</f>
        <v>8.3554083851608389E-3</v>
      </c>
      <c r="AT14" s="1">
        <f>Z14*プロパティ!D$13</f>
        <v>0.20579688689100006</v>
      </c>
      <c r="AU14" s="1">
        <f>SUM($AS15:AS$67)*(($A15+$A14)/2-$A14)+AU15</f>
        <v>1.9222821777891624E-2</v>
      </c>
      <c r="AV14" s="1">
        <f t="shared" si="3"/>
        <v>2.6630882127650121E-2</v>
      </c>
      <c r="AW14" s="1">
        <f t="shared" si="18"/>
        <v>2.30549905079758E-3</v>
      </c>
      <c r="AX14" s="1">
        <f t="shared" si="19"/>
        <v>0.13209536528211874</v>
      </c>
      <c r="AY14" s="1">
        <f t="shared" si="20"/>
        <v>7.3759042124346474E-5</v>
      </c>
    </row>
    <row r="15" spans="1:51">
      <c r="A15" s="1">
        <v>0.04</v>
      </c>
      <c r="C15" s="1">
        <v>0.17</v>
      </c>
      <c r="E15" s="1">
        <f t="shared" si="4"/>
        <v>2.8900000000000006E-2</v>
      </c>
      <c r="F15" s="1">
        <f>$C$7*荷重解析!$D$1-C15*(荷重解析!$D$1-0.25)</f>
        <v>4.250000000000001E-2</v>
      </c>
      <c r="G15" s="1">
        <f t="shared" si="5"/>
        <v>7.2250000000000023E-3</v>
      </c>
      <c r="H15" s="1">
        <f t="shared" si="6"/>
        <v>10.150700000000001</v>
      </c>
      <c r="I15" s="1">
        <f t="shared" si="7"/>
        <v>7.7277532867500005</v>
      </c>
      <c r="J15" s="1">
        <f t="shared" si="8"/>
        <v>8.5000000000000006E-4</v>
      </c>
      <c r="K15" s="1">
        <f>C15*0.01*一般構造素材物性!$H$22*2</f>
        <v>3.5360000000000003E-2</v>
      </c>
      <c r="L15" s="1">
        <f>一般構造素材物性!$H$34*0.01*Lavender!H15/1000+一般構造素材物性!$H$20*0.005*0.01*2</f>
        <v>5.1579955555555557E-2</v>
      </c>
      <c r="M15" s="1">
        <f>一般構造素材物性!$H$19*0.01*0.015</f>
        <v>1.35E-2</v>
      </c>
      <c r="N15" s="1">
        <f t="shared" si="9"/>
        <v>1.35E-2</v>
      </c>
      <c r="O15" s="1">
        <f>IF(COUNTIF(Python読み込み用データ!$Q$4:$Q$13,Lavender!A15*1000),1,0)</f>
        <v>0</v>
      </c>
      <c r="P15" s="1">
        <f t="shared" si="10"/>
        <v>1.8230392888888891E-7</v>
      </c>
      <c r="Q15" s="1">
        <f t="shared" si="11"/>
        <v>3.6044646440000005E-7</v>
      </c>
      <c r="S15" s="1">
        <f>荷重解析!E11*0.01</f>
        <v>2.20706983E-2</v>
      </c>
      <c r="T15" s="1">
        <f>(荷重解析!F11+荷重解析!F12)/2*0.01</f>
        <v>9.4313380000000003E-4</v>
      </c>
      <c r="U15" s="1">
        <f>(荷重解析!G11+荷重解析!G12)/2*0.5*1.293*(荷重解析!C11^2+荷重解析!$B$1^2)*((C16+C15)/2)*0.01*COS(RADIANS(荷重解析!D11))</f>
        <v>4.545651226133756E-4</v>
      </c>
      <c r="V15" s="1">
        <f t="shared" si="12"/>
        <v>1.3976989226133756E-3</v>
      </c>
      <c r="W15" s="1">
        <f>(荷重解析!H11+荷重解析!H12)/2*0.5*1.293*(荷重解析!C11^2+荷重解析!$B$1^2)*((C16+C15)/2)^2*0.01</f>
        <v>-3.7624662067671164E-4</v>
      </c>
      <c r="Y15" s="1">
        <f>IF(A15=プロパティ!$D$3,S15-プロパティ!$D$8,S15)</f>
        <v>2.20706983E-2</v>
      </c>
      <c r="Z15" s="1">
        <f>SUM(Y16:$Y$91)*(($A16+$A15)/2-$A15)+Z16</f>
        <v>3.2435409897250009E-2</v>
      </c>
      <c r="AA15" s="1">
        <f>AB15*H15/1000/2*一般構造素材物性!$M$7/1000</f>
        <v>1.91723190896687E-4</v>
      </c>
      <c r="AB15" s="1">
        <f t="shared" si="1"/>
        <v>4.1972626057904484E-3</v>
      </c>
      <c r="AC15" s="1">
        <f t="shared" si="13"/>
        <v>0.24434609527920614</v>
      </c>
      <c r="AD15" s="1">
        <f t="shared" si="14"/>
        <v>14</v>
      </c>
      <c r="AE15" s="1">
        <f t="shared" si="17"/>
        <v>1.9547687622336492E-2</v>
      </c>
      <c r="AF15" s="1">
        <f t="shared" si="2"/>
        <v>19.547687622336493</v>
      </c>
      <c r="AG15" s="1">
        <f t="shared" si="15"/>
        <v>9.574567508609265</v>
      </c>
      <c r="AH15" s="68">
        <f>-2/空力安定性!$G$36*SIN(AC15)^2*C15</f>
        <v>-9.2553066111546151E-2</v>
      </c>
      <c r="AI15" s="1">
        <f t="shared" si="16"/>
        <v>-9.0263170858309403E-3</v>
      </c>
      <c r="AJ15" s="1">
        <f>-2/空力安定性!$G$36/空力安定性!$G$47*A15*C15*SIN(AC15)</f>
        <v>-1.5302966419327818E-2</v>
      </c>
      <c r="AK15" s="1">
        <f>-4/空力安定性!$G$36/空力安定性!$G$47*A15*SIN(AC15)*COS(AC15)*C15</f>
        <v>-2.9696805832037741E-2</v>
      </c>
      <c r="AL15" s="1">
        <f>-4/空力安定性!$G$36/空力安定性!$G$47^2*COS(AC15)*(A15*COS(AC15)+AE15*SIN(AC15))*C15</f>
        <v>-0.13361997971269943</v>
      </c>
      <c r="AM15" s="1">
        <f>-4/空力安定性!$G$36/空力安定性!$G$47^2*C15*COS(AC15)*A15^2</f>
        <v>-4.9101476752943449E-3</v>
      </c>
      <c r="AN15" s="1">
        <f>4/空力安定性!$G$36/空力安定性!$G$47*2*A15*C15*SIN(AC15)</f>
        <v>6.1211865677311274E-2</v>
      </c>
      <c r="AO15" s="1">
        <f>4/空力安定性!$G$36/空力安定性!$G$47^2*2*(A15*COS(AC15)+AE15*SIN(AC15))*C15*A15</f>
        <v>1.101684577962919E-2</v>
      </c>
      <c r="AP15" s="1">
        <f>8/空力安定性!$G$36/空力安定性!$G$47^2*A15^2*C15</f>
        <v>1.012093023255814E-2</v>
      </c>
      <c r="AR15" s="1">
        <f>Y15*プロパティ!D$13</f>
        <v>0.13242418980000001</v>
      </c>
      <c r="AS15" s="1">
        <f>V15*プロパティ!$D$13</f>
        <v>8.3861935356802537E-3</v>
      </c>
      <c r="AT15" s="1">
        <f>Z15*プロパティ!D$13</f>
        <v>0.19461245938350005</v>
      </c>
      <c r="AU15" s="1">
        <f>SUM($AS16:AS$67)*(($A16+$A15)/2-$A15)+AU16</f>
        <v>1.830010768081582E-2</v>
      </c>
      <c r="AV15" s="1">
        <f t="shared" si="3"/>
        <v>2.5183575634742689E-2</v>
      </c>
      <c r="AW15" s="1">
        <f t="shared" si="18"/>
        <v>2.5718078720740811E-3</v>
      </c>
      <c r="AX15" s="1">
        <f t="shared" si="19"/>
        <v>0.14735373678836597</v>
      </c>
      <c r="AY15" s="1">
        <f t="shared" si="20"/>
        <v>9.6814032632322271E-5</v>
      </c>
    </row>
    <row r="16" spans="1:51">
      <c r="A16" s="1">
        <v>4.4999999999999998E-2</v>
      </c>
      <c r="C16" s="1">
        <v>0.17</v>
      </c>
      <c r="E16" s="1">
        <f t="shared" si="4"/>
        <v>2.8900000000000006E-2</v>
      </c>
      <c r="F16" s="1">
        <f>$C$7*荷重解析!$D$1-C16*(荷重解析!$D$1-0.25)</f>
        <v>4.250000000000001E-2</v>
      </c>
      <c r="G16" s="1">
        <f t="shared" si="5"/>
        <v>7.2250000000000023E-3</v>
      </c>
      <c r="H16" s="1">
        <f t="shared" si="6"/>
        <v>10.150700000000001</v>
      </c>
      <c r="I16" s="1">
        <f t="shared" si="7"/>
        <v>7.7277532867500005</v>
      </c>
      <c r="J16" s="1">
        <f t="shared" si="8"/>
        <v>8.5000000000000006E-4</v>
      </c>
      <c r="K16" s="1">
        <f>C16*0.01*一般構造素材物性!$H$22*2</f>
        <v>3.5360000000000003E-2</v>
      </c>
      <c r="L16" s="1">
        <f>一般構造素材物性!$H$34*0.01*Lavender!H16/1000+一般構造素材物性!$H$20*0.005*0.01*2</f>
        <v>5.1579955555555557E-2</v>
      </c>
      <c r="M16" s="1">
        <f>一般構造素材物性!$H$19*0.01*0.015</f>
        <v>1.35E-2</v>
      </c>
      <c r="N16" s="1">
        <f t="shared" si="9"/>
        <v>1.35E-2</v>
      </c>
      <c r="O16" s="1">
        <f>IF(COUNTIF(Python読み込み用データ!$Q$4:$Q$13,Lavender!A16*1000),1,0)</f>
        <v>0</v>
      </c>
      <c r="P16" s="1">
        <f t="shared" si="10"/>
        <v>2.3072841E-7</v>
      </c>
      <c r="Q16" s="1">
        <f t="shared" si="11"/>
        <v>3.6044646440000005E-7</v>
      </c>
      <c r="S16" s="1">
        <f>荷重解析!E12*0.01</f>
        <v>2.2035098600000001E-2</v>
      </c>
      <c r="T16" s="1">
        <f>(荷重解析!F12+荷重解析!F13)/2*0.01</f>
        <v>9.4766414999999991E-4</v>
      </c>
      <c r="U16" s="1">
        <f>(荷重解析!G12+荷重解析!G13)/2*0.5*1.293*(荷重解析!C12^2+荷重解析!$B$1^2)*((C17+C16)/2)*0.01*COS(RADIANS(荷重解析!D12))</f>
        <v>4.5587829269581496E-4</v>
      </c>
      <c r="V16" s="1">
        <f t="shared" si="12"/>
        <v>1.4035424426958149E-3</v>
      </c>
      <c r="W16" s="1">
        <f>(荷重解析!H12+荷重解析!H13)/2*0.5*1.293*(荷重解析!C12^2+荷重解析!$B$1^2)*((C17+C16)/2)^2*0.01</f>
        <v>-3.7655832270243594E-4</v>
      </c>
      <c r="Y16" s="1">
        <f>IF(A16=プロパティ!$D$3,S16-プロパティ!$D$8,S16)</f>
        <v>2.2035098600000001E-2</v>
      </c>
      <c r="Z16" s="1">
        <f>SUM(Y17:$Y$91)*(($A17+$A16)/2-$A16)+Z17</f>
        <v>3.0626515391750011E-2</v>
      </c>
      <c r="AA16" s="1">
        <f>AB16*H16/1000/2*一般構造素材物性!$M$7/1000</f>
        <v>1.8103095584590231E-4</v>
      </c>
      <c r="AB16" s="1">
        <f t="shared" si="1"/>
        <v>3.9631849329690959E-3</v>
      </c>
      <c r="AC16" s="1">
        <f t="shared" si="13"/>
        <v>0.24434609527920614</v>
      </c>
      <c r="AD16" s="1">
        <f t="shared" si="14"/>
        <v>14</v>
      </c>
      <c r="AE16" s="1">
        <f t="shared" si="17"/>
        <v>2.1991148575128554E-2</v>
      </c>
      <c r="AF16" s="1">
        <f t="shared" si="2"/>
        <v>21.991148575128555</v>
      </c>
      <c r="AG16" s="1">
        <f t="shared" si="15"/>
        <v>10.771388447185425</v>
      </c>
      <c r="AH16" s="68">
        <f>-2/空力安定性!$G$36*SIN(AC16)^2*C16</f>
        <v>-9.2553066111546151E-2</v>
      </c>
      <c r="AI16" s="1">
        <f t="shared" si="16"/>
        <v>-1.0154606721559808E-2</v>
      </c>
      <c r="AJ16" s="1">
        <f>-2/空力安定性!$G$36/空力安定性!$G$47*A16*C16*SIN(AC16)</f>
        <v>-1.7215837221743795E-2</v>
      </c>
      <c r="AK16" s="1">
        <f>-4/空力安定性!$G$36/空力安定性!$G$47*A16*SIN(AC16)*COS(AC16)*C16</f>
        <v>-3.3408906561042458E-2</v>
      </c>
      <c r="AL16" s="1">
        <f>-4/空力安定性!$G$36/空力安定性!$G$47^2*COS(AC16)*(A16*COS(AC16)+AE16*SIN(AC16))*C16</f>
        <v>-0.15032247717678685</v>
      </c>
      <c r="AM16" s="1">
        <f>-4/空力安定性!$G$36/空力安定性!$G$47^2*C16*COS(AC16)*A16^2</f>
        <v>-6.2144056515444045E-3</v>
      </c>
      <c r="AN16" s="1">
        <f>4/空力安定性!$G$36/空力安定性!$G$47*2*A16*C16*SIN(AC16)</f>
        <v>6.8863348886975179E-2</v>
      </c>
      <c r="AO16" s="1">
        <f>4/空力安定性!$G$36/空力安定性!$G$47^2*2*(A16*COS(AC16)+AE16*SIN(AC16))*C16*A16</f>
        <v>1.3943195439843193E-2</v>
      </c>
      <c r="AP16" s="1">
        <f>8/空力安定性!$G$36/空力安定性!$G$47^2*A16^2*C16</f>
        <v>1.2809302325581395E-2</v>
      </c>
      <c r="AR16" s="1">
        <f>Y16*プロパティ!D$13</f>
        <v>0.13221059160000001</v>
      </c>
      <c r="AS16" s="1">
        <f>V16*プロパティ!$D$13</f>
        <v>8.42125465617489E-3</v>
      </c>
      <c r="AT16" s="1">
        <f>Z16*プロパティ!D$13</f>
        <v>0.18375909235050006</v>
      </c>
      <c r="AU16" s="1">
        <f>SUM($AS17:AS$67)*(($A17+$A16)/2-$A16)+AU17</f>
        <v>1.7398359067579222E-2</v>
      </c>
      <c r="AV16" s="1">
        <f t="shared" si="3"/>
        <v>2.3779109597814575E-2</v>
      </c>
      <c r="AW16" s="1">
        <f t="shared" si="18"/>
        <v>2.8236436284215082E-3</v>
      </c>
      <c r="AX16" s="1">
        <f t="shared" si="19"/>
        <v>0.16178286275755849</v>
      </c>
      <c r="AY16" s="1">
        <f t="shared" si="20"/>
        <v>1.2253211135306309E-4</v>
      </c>
    </row>
    <row r="17" spans="1:51">
      <c r="A17" s="1">
        <v>0.05</v>
      </c>
      <c r="C17" s="1">
        <v>0.17</v>
      </c>
      <c r="E17" s="1">
        <f t="shared" si="4"/>
        <v>2.8900000000000006E-2</v>
      </c>
      <c r="F17" s="1">
        <f>$C$7*荷重解析!$D$1-C17*(荷重解析!$D$1-0.25)</f>
        <v>4.250000000000001E-2</v>
      </c>
      <c r="G17" s="1">
        <f t="shared" si="5"/>
        <v>7.2250000000000023E-3</v>
      </c>
      <c r="H17" s="1">
        <f t="shared" si="6"/>
        <v>10.150700000000001</v>
      </c>
      <c r="I17" s="1">
        <f t="shared" si="7"/>
        <v>7.7277532867500005</v>
      </c>
      <c r="J17" s="1">
        <f t="shared" si="8"/>
        <v>8.5000000000000006E-4</v>
      </c>
      <c r="K17" s="1">
        <f>C17*0.01*一般構造素材物性!$H$22*2</f>
        <v>3.5360000000000003E-2</v>
      </c>
      <c r="L17" s="1">
        <f>一般構造素材物性!$H$34*0.01*Lavender!H17/1000+一般構造素材物性!$H$20*0.005*0.01*2</f>
        <v>5.1579955555555557E-2</v>
      </c>
      <c r="M17" s="1">
        <f>一般構造素材物性!$H$19*0.01*0.015</f>
        <v>1.35E-2</v>
      </c>
      <c r="N17" s="1">
        <f t="shared" si="9"/>
        <v>1.35E-2</v>
      </c>
      <c r="O17" s="1">
        <f>IF(COUNTIF(Python読み込み用データ!$Q$4:$Q$13,Lavender!A17*1000),1,0)</f>
        <v>1</v>
      </c>
      <c r="P17" s="1">
        <f t="shared" si="10"/>
        <v>2.7848498888888896E-6</v>
      </c>
      <c r="Q17" s="1">
        <f t="shared" si="11"/>
        <v>3.6044646440000005E-7</v>
      </c>
      <c r="S17" s="1">
        <f>荷重解析!E13*0.01</f>
        <v>2.19947882E-2</v>
      </c>
      <c r="T17" s="1">
        <f>(荷重解析!F13+荷重解析!F14)/2*0.01</f>
        <v>9.5274120000000007E-4</v>
      </c>
      <c r="U17" s="1">
        <f>(荷重解析!G13+荷重解析!G14)/2*0.5*1.293*(荷重解析!C13^2+荷重解析!$B$1^2)*((C18+C17)/2)*0.01*COS(RADIANS(荷重解析!D13))</f>
        <v>4.5735744110881753E-4</v>
      </c>
      <c r="V17" s="1">
        <f t="shared" si="12"/>
        <v>1.4100986411088175E-3</v>
      </c>
      <c r="W17" s="1">
        <f>(荷重解析!H13+荷重解析!H14)/2*0.5*1.293*(荷重解析!C13^2+荷重解析!$B$1^2)*((C18+C17)/2)^2*0.01</f>
        <v>-3.7690952005151713E-4</v>
      </c>
      <c r="Y17" s="1">
        <f>IF(A17=プロパティ!$D$3,S17-プロパティ!$D$8,S17)</f>
        <v>2.19947882E-2</v>
      </c>
      <c r="Z17" s="1">
        <f>SUM(Y18:$Y$91)*(($A18+$A17)/2-$A17)+Z18</f>
        <v>2.8872708632750009E-2</v>
      </c>
      <c r="AA17" s="1">
        <f>AB17*H17/1000/2*一般構造素材物性!$M$7/1000</f>
        <v>1.7066434018983917E-4</v>
      </c>
      <c r="AB17" s="1">
        <f t="shared" si="1"/>
        <v>3.7362358193105275E-3</v>
      </c>
      <c r="AC17" s="1">
        <f t="shared" si="13"/>
        <v>0.24434609527920614</v>
      </c>
      <c r="AD17" s="1">
        <f t="shared" si="14"/>
        <v>14</v>
      </c>
      <c r="AE17" s="1">
        <f t="shared" si="17"/>
        <v>2.4434609527920616E-2</v>
      </c>
      <c r="AF17" s="1">
        <f t="shared" si="2"/>
        <v>24.434609527920617</v>
      </c>
      <c r="AG17" s="1">
        <f t="shared" si="15"/>
        <v>11.968209385761583</v>
      </c>
      <c r="AH17" s="68">
        <f>-2/空力安定性!$G$36*SIN(AC17)^2*C17</f>
        <v>-9.2553066111546151E-2</v>
      </c>
      <c r="AI17" s="1">
        <f t="shared" si="16"/>
        <v>-1.1282896357288677E-2</v>
      </c>
      <c r="AJ17" s="1">
        <f>-2/空力安定性!$G$36/空力安定性!$G$47*A17*C17*SIN(AC17)</f>
        <v>-1.9128708024159773E-2</v>
      </c>
      <c r="AK17" s="1">
        <f>-4/空力安定性!$G$36/空力安定性!$G$47*A17*SIN(AC17)*COS(AC17)*C17</f>
        <v>-3.7121007290047178E-2</v>
      </c>
      <c r="AL17" s="1">
        <f>-4/空力安定性!$G$36/空力安定性!$G$47^2*COS(AC17)*(A17*COS(AC17)+AE17*SIN(AC17))*C17</f>
        <v>-0.16702497464087426</v>
      </c>
      <c r="AM17" s="1">
        <f>-4/空力安定性!$G$36/空力安定性!$G$47^2*C17*COS(AC17)*A17^2</f>
        <v>-7.6721057426474152E-3</v>
      </c>
      <c r="AN17" s="1">
        <f>4/空力安定性!$G$36/空力安定性!$G$47*2*A17*C17*SIN(AC17)</f>
        <v>7.651483209663909E-2</v>
      </c>
      <c r="AO17" s="1">
        <f>4/空力安定性!$G$36/空力安定性!$G$47^2*2*(A17*COS(AC17)+AE17*SIN(AC17))*C17*A17</f>
        <v>1.7213821530670612E-2</v>
      </c>
      <c r="AP17" s="1">
        <f>8/空力安定性!$G$36/空力安定性!$G$47^2*A17^2*C17</f>
        <v>1.5813953488372095E-2</v>
      </c>
      <c r="AR17" s="1">
        <f>Y17*プロパティ!D$13</f>
        <v>0.1319687292</v>
      </c>
      <c r="AS17" s="1">
        <f>V17*プロパティ!$D$13</f>
        <v>8.4605918466529057E-3</v>
      </c>
      <c r="AT17" s="1">
        <f>Z17*プロパティ!D$13</f>
        <v>0.17323625179650004</v>
      </c>
      <c r="AU17" s="1">
        <f>SUM($AS18:AS$67)*(($A18+$A17)/2-$A17)+AU18</f>
        <v>1.651766359098306E-2</v>
      </c>
      <c r="AV17" s="1">
        <f t="shared" si="3"/>
        <v>2.2417414915863163E-2</v>
      </c>
      <c r="AW17" s="1">
        <f t="shared" si="18"/>
        <v>3.061434724399654E-3</v>
      </c>
      <c r="AX17" s="1">
        <f t="shared" si="19"/>
        <v>0.17540728896289653</v>
      </c>
      <c r="AY17" s="1">
        <f t="shared" si="20"/>
        <v>1.5076854763727818E-4</v>
      </c>
    </row>
    <row r="18" spans="1:51">
      <c r="A18" s="1">
        <v>5.5E-2</v>
      </c>
      <c r="C18" s="1">
        <v>0.17</v>
      </c>
      <c r="E18" s="1">
        <f t="shared" si="4"/>
        <v>2.8900000000000006E-2</v>
      </c>
      <c r="F18" s="1">
        <f>$C$7*荷重解析!$D$1-C18*(荷重解析!$D$1-0.25)</f>
        <v>4.250000000000001E-2</v>
      </c>
      <c r="G18" s="1">
        <f t="shared" si="5"/>
        <v>7.2250000000000023E-3</v>
      </c>
      <c r="H18" s="1">
        <f t="shared" si="6"/>
        <v>10.150700000000001</v>
      </c>
      <c r="I18" s="1">
        <f t="shared" si="7"/>
        <v>7.7277532867500005</v>
      </c>
      <c r="J18" s="1">
        <f t="shared" si="8"/>
        <v>8.5000000000000006E-4</v>
      </c>
      <c r="K18" s="1">
        <f>C18*0.01*一般構造素材物性!$H$22*2</f>
        <v>3.5360000000000003E-2</v>
      </c>
      <c r="L18" s="1">
        <f>一般構造素材物性!$H$34*0.01*Lavender!H18/1000+一般構造素材物性!$H$20*0.005*0.01*2</f>
        <v>5.1579955555555557E-2</v>
      </c>
      <c r="M18" s="1">
        <f>一般構造素材物性!$H$19*0.01*0.015</f>
        <v>1.35E-2</v>
      </c>
      <c r="N18" s="1">
        <f t="shared" si="9"/>
        <v>1.35E-2</v>
      </c>
      <c r="O18" s="1">
        <f>IF(COUNTIF(Python読み込み用データ!$Q$4:$Q$13,Lavender!A18*1000),1,0)</f>
        <v>0</v>
      </c>
      <c r="P18" s="1">
        <f t="shared" si="10"/>
        <v>3.4466836555555554E-7</v>
      </c>
      <c r="Q18" s="1">
        <f t="shared" si="11"/>
        <v>3.6044646440000005E-7</v>
      </c>
      <c r="S18" s="1">
        <f>荷重解析!E14*0.01</f>
        <v>2.1949601699999998E-2</v>
      </c>
      <c r="T18" s="1">
        <f>(荷重解析!F14+荷重解析!F15)/2*0.01</f>
        <v>9.5837804999999998E-4</v>
      </c>
      <c r="U18" s="1">
        <f>(荷重解析!G14+荷重解析!G15)/2*0.5*1.293*(荷重解析!C14^2+荷重解析!$B$1^2)*((C19+C18)/2)*0.01*COS(RADIANS(荷重解析!D14))</f>
        <v>4.5900912018923923E-4</v>
      </c>
      <c r="V18" s="1">
        <f t="shared" si="12"/>
        <v>1.4173871701892392E-3</v>
      </c>
      <c r="W18" s="1">
        <f>(荷重解析!H14+荷重解析!H15)/2*0.5*1.293*(荷重解析!C14^2+荷重解析!$B$1^2)*((C19+C18)/2)^2*0.01</f>
        <v>-3.7730193313859073E-4</v>
      </c>
      <c r="Y18" s="1">
        <f>IF(A18=プロパティ!$D$3,S18-プロパティ!$D$8,S18)</f>
        <v>2.1949601699999998E-2</v>
      </c>
      <c r="Z18" s="1">
        <f>SUM(Y19:$Y$91)*(($A19+$A18)/2-$A18)+Z19</f>
        <v>2.7173888844250007E-2</v>
      </c>
      <c r="AA18" s="1">
        <f>AB18*H18/1000/2*一般構造素材物性!$M$7/1000</f>
        <v>1.6062274824938186E-4</v>
      </c>
      <c r="AB18" s="1">
        <f t="shared" si="1"/>
        <v>3.5164022240257507E-3</v>
      </c>
      <c r="AC18" s="1">
        <f t="shared" si="13"/>
        <v>0.24434609527920614</v>
      </c>
      <c r="AD18" s="1">
        <f t="shared" si="14"/>
        <v>14</v>
      </c>
      <c r="AE18" s="1">
        <f t="shared" si="17"/>
        <v>2.6878070480712678E-2</v>
      </c>
      <c r="AF18" s="1">
        <f t="shared" si="2"/>
        <v>26.87807048071268</v>
      </c>
      <c r="AG18" s="1">
        <f t="shared" si="15"/>
        <v>13.16503032433774</v>
      </c>
      <c r="AH18" s="68">
        <f>-2/空力安定性!$G$36*SIN(AC18)^2*C18</f>
        <v>-9.2553066111546151E-2</v>
      </c>
      <c r="AI18" s="1">
        <f t="shared" si="16"/>
        <v>-1.2411185993017543E-2</v>
      </c>
      <c r="AJ18" s="1">
        <f>-2/空力安定性!$G$36/空力安定性!$G$47*A18*C18*SIN(AC18)</f>
        <v>-2.1041578826575751E-2</v>
      </c>
      <c r="AK18" s="1">
        <f>-4/空力安定性!$G$36/空力安定性!$G$47*A18*SIN(AC18)*COS(AC18)*C18</f>
        <v>-4.0833108019051892E-2</v>
      </c>
      <c r="AL18" s="1">
        <f>-4/空力安定性!$G$36/空力安定性!$G$47^2*COS(AC18)*(A18*COS(AC18)+AE18*SIN(AC18))*C18</f>
        <v>-0.18372747210496168</v>
      </c>
      <c r="AM18" s="1">
        <f>-4/空力安定性!$G$36/空力安定性!$G$47^2*C18*COS(AC18)*A18^2</f>
        <v>-9.2832479486033709E-3</v>
      </c>
      <c r="AN18" s="1">
        <f>4/空力安定性!$G$36/空力安定性!$G$47*2*A18*C18*SIN(AC18)</f>
        <v>8.4166315306303002E-2</v>
      </c>
      <c r="AO18" s="1">
        <f>4/空力安定性!$G$36/空力安定性!$G$47^2*2*(A18*COS(AC18)+AE18*SIN(AC18))*C18*A18</f>
        <v>2.0828724052111437E-2</v>
      </c>
      <c r="AP18" s="1">
        <f>8/空力安定性!$G$36/空力安定性!$G$47^2*A18^2*C18</f>
        <v>1.9134883720930231E-2</v>
      </c>
      <c r="AR18" s="1">
        <f>Y18*プロパティ!D$13</f>
        <v>0.13169761019999998</v>
      </c>
      <c r="AS18" s="1">
        <f>V18*プロパティ!$D$13</f>
        <v>8.5043230211354348E-3</v>
      </c>
      <c r="AT18" s="1">
        <f>Z18*プロパティ!D$13</f>
        <v>0.16304333306550003</v>
      </c>
      <c r="AU18" s="1">
        <f>SUM($AS19:AS$67)*(($A19+$A18)/2-$A18)+AU19</f>
        <v>1.5658119594003529E-2</v>
      </c>
      <c r="AV18" s="1">
        <f t="shared" si="3"/>
        <v>2.1098413344154503E-2</v>
      </c>
      <c r="AW18" s="1">
        <f t="shared" si="18"/>
        <v>3.2856088735582858E-3</v>
      </c>
      <c r="AX18" s="1">
        <f t="shared" si="19"/>
        <v>0.18825152158562231</v>
      </c>
      <c r="AY18" s="1">
        <f t="shared" si="20"/>
        <v>1.8138289488127472E-4</v>
      </c>
    </row>
    <row r="19" spans="1:51">
      <c r="A19" s="1">
        <v>0.06</v>
      </c>
      <c r="C19" s="1">
        <v>0.17</v>
      </c>
      <c r="E19" s="1">
        <f t="shared" si="4"/>
        <v>2.8900000000000006E-2</v>
      </c>
      <c r="F19" s="1">
        <f>$C$7*荷重解析!$D$1-C19*(荷重解析!$D$1-0.25)</f>
        <v>4.250000000000001E-2</v>
      </c>
      <c r="G19" s="1">
        <f t="shared" si="5"/>
        <v>7.2250000000000023E-3</v>
      </c>
      <c r="H19" s="1">
        <f t="shared" si="6"/>
        <v>10.150700000000001</v>
      </c>
      <c r="I19" s="1">
        <f t="shared" si="7"/>
        <v>7.7277532867500005</v>
      </c>
      <c r="J19" s="1">
        <f t="shared" si="8"/>
        <v>8.5000000000000006E-4</v>
      </c>
      <c r="K19" s="1">
        <f>C19*0.01*一般構造素材物性!$H$22*2</f>
        <v>3.5360000000000003E-2</v>
      </c>
      <c r="L19" s="1">
        <f>一般構造素材物性!$H$34*0.01*Lavender!H19/1000+一般構造素材物性!$H$20*0.005*0.01*2</f>
        <v>5.1579955555555557E-2</v>
      </c>
      <c r="M19" s="1">
        <f>一般構造素材物性!$H$19*0.01*0.015</f>
        <v>1.35E-2</v>
      </c>
      <c r="N19" s="1">
        <f t="shared" si="9"/>
        <v>1.35E-2</v>
      </c>
      <c r="O19" s="1">
        <f>IF(COUNTIF(Python読み込み用データ!$Q$4:$Q$13,Lavender!A19*1000),1,0)</f>
        <v>0</v>
      </c>
      <c r="P19" s="1">
        <f t="shared" si="10"/>
        <v>4.1018383999999999E-7</v>
      </c>
      <c r="Q19" s="1">
        <f t="shared" si="11"/>
        <v>3.6044646440000005E-7</v>
      </c>
      <c r="S19" s="1">
        <f>荷重解析!E15*0.01</f>
        <v>2.18993286E-2</v>
      </c>
      <c r="T19" s="1">
        <f>(荷重解析!F15+荷重解析!F16)/2*0.01</f>
        <v>9.6459065000000009E-4</v>
      </c>
      <c r="U19" s="1">
        <f>(荷重解析!G15+荷重解析!G16)/2*0.5*1.293*(荷重解析!C15^2+荷重解析!$B$1^2)*((C20+C19)/2)*0.01*COS(RADIANS(荷重解析!D15))</f>
        <v>4.6084105832509446E-4</v>
      </c>
      <c r="V19" s="1">
        <f t="shared" si="12"/>
        <v>1.4254317083250945E-3</v>
      </c>
      <c r="W19" s="1">
        <f>(荷重解析!H15+荷重解析!H16)/2*0.5*1.293*(荷重解析!C15^2+荷重解析!$B$1^2)*((C20+C19)/2)^2*0.01</f>
        <v>-3.7773746373070678E-4</v>
      </c>
      <c r="Y19" s="1">
        <f>IF(A19=プロパティ!$D$3,S19-プロパティ!$D$8,S19)</f>
        <v>2.18993286E-2</v>
      </c>
      <c r="Z19" s="1">
        <f>SUM(Y20:$Y$91)*(($A20+$A19)/2-$A19)+Z20</f>
        <v>2.5529943060000011E-2</v>
      </c>
      <c r="AA19" s="1">
        <f>AB19*H19/1000/2*一般構造素材物性!$M$7/1000</f>
        <v>1.509055122897929E-4</v>
      </c>
      <c r="AB19" s="1">
        <f t="shared" si="1"/>
        <v>3.3036695288621121E-3</v>
      </c>
      <c r="AC19" s="1">
        <f t="shared" si="13"/>
        <v>0.24434609527920614</v>
      </c>
      <c r="AD19" s="1">
        <f t="shared" si="14"/>
        <v>14</v>
      </c>
      <c r="AE19" s="1">
        <f t="shared" si="17"/>
        <v>2.932153143350474E-2</v>
      </c>
      <c r="AF19" s="1">
        <f t="shared" si="2"/>
        <v>29.321531433504742</v>
      </c>
      <c r="AG19" s="1">
        <f t="shared" si="15"/>
        <v>14.3618512629139</v>
      </c>
      <c r="AH19" s="68">
        <f>-2/空力安定性!$G$36*SIN(AC19)^2*C19</f>
        <v>-9.2553066111546151E-2</v>
      </c>
      <c r="AI19" s="1">
        <f t="shared" si="16"/>
        <v>-1.3539475628746411E-2</v>
      </c>
      <c r="AJ19" s="1">
        <f>-2/空力安定性!$G$36/空力安定性!$G$47*A19*C19*SIN(AC19)</f>
        <v>-2.2954449628991725E-2</v>
      </c>
      <c r="AK19" s="1">
        <f>-4/空力安定性!$G$36/空力安定性!$G$47*A19*SIN(AC19)*COS(AC19)*C19</f>
        <v>-4.4545208748056606E-2</v>
      </c>
      <c r="AL19" s="1">
        <f>-4/空力安定性!$G$36/空力安定性!$G$47^2*COS(AC19)*(A19*COS(AC19)+AE19*SIN(AC19))*C19</f>
        <v>-0.2004299695690491</v>
      </c>
      <c r="AM19" s="1">
        <f>-4/空力安定性!$G$36/空力安定性!$G$47^2*C19*COS(AC19)*A19^2</f>
        <v>-1.1047832269412276E-2</v>
      </c>
      <c r="AN19" s="1">
        <f>4/空力安定性!$G$36/空力安定性!$G$47*2*A19*C19*SIN(AC19)</f>
        <v>9.18177985159669E-2</v>
      </c>
      <c r="AO19" s="1">
        <f>4/空力安定性!$G$36/空力安定性!$G$47^2*2*(A19*COS(AC19)+AE19*SIN(AC19))*C19*A19</f>
        <v>2.4787903004165675E-2</v>
      </c>
      <c r="AP19" s="1">
        <f>8/空力安定性!$G$36/空力安定性!$G$47^2*A19^2*C19</f>
        <v>2.2772093023255814E-2</v>
      </c>
      <c r="AR19" s="1">
        <f>Y19*プロパティ!D$13</f>
        <v>0.13139597159999999</v>
      </c>
      <c r="AS19" s="1">
        <f>V19*プロパティ!$D$13</f>
        <v>8.5525902499505677E-3</v>
      </c>
      <c r="AT19" s="1">
        <f>Z19*プロパティ!D$13</f>
        <v>0.15317965836000008</v>
      </c>
      <c r="AU19" s="1">
        <f>SUM($AS20:AS$67)*(($A20+$A19)/2-$A19)+AU20</f>
        <v>1.4819836404576837E-2</v>
      </c>
      <c r="AV19" s="1">
        <f t="shared" si="3"/>
        <v>1.9822017173172675E-2</v>
      </c>
      <c r="AW19" s="1">
        <f t="shared" si="18"/>
        <v>3.4965930069998309E-3</v>
      </c>
      <c r="AX19" s="1">
        <f t="shared" si="19"/>
        <v>0.20034002197604783</v>
      </c>
      <c r="AY19" s="1">
        <f t="shared" si="20"/>
        <v>2.1423898361685756E-4</v>
      </c>
    </row>
    <row r="20" spans="1:51">
      <c r="A20" s="1">
        <v>6.5000000000000002E-2</v>
      </c>
      <c r="C20" s="1">
        <v>0.17</v>
      </c>
      <c r="E20" s="1">
        <f t="shared" si="4"/>
        <v>2.8900000000000006E-2</v>
      </c>
      <c r="F20" s="1">
        <f>$C$7*荷重解析!$D$1-C20*(荷重解析!$D$1-0.25)</f>
        <v>4.250000000000001E-2</v>
      </c>
      <c r="G20" s="1">
        <f t="shared" si="5"/>
        <v>7.2250000000000023E-3</v>
      </c>
      <c r="H20" s="1">
        <f t="shared" si="6"/>
        <v>10.150700000000001</v>
      </c>
      <c r="I20" s="1">
        <f t="shared" si="7"/>
        <v>7.7277532867500005</v>
      </c>
      <c r="J20" s="1">
        <f t="shared" si="8"/>
        <v>8.5000000000000006E-4</v>
      </c>
      <c r="K20" s="1">
        <f>C20*0.01*一般構造素材物性!$H$22*2</f>
        <v>3.5360000000000003E-2</v>
      </c>
      <c r="L20" s="1">
        <f>一般構造素材物性!$H$34*0.01*Lavender!H20/1000+一般構造素材物性!$H$20*0.005*0.01*2</f>
        <v>5.1579955555555557E-2</v>
      </c>
      <c r="M20" s="1">
        <f>一般構造素材物性!$H$19*0.01*0.015</f>
        <v>1.35E-2</v>
      </c>
      <c r="N20" s="1">
        <f t="shared" si="9"/>
        <v>1.35E-2</v>
      </c>
      <c r="O20" s="1">
        <f>IF(COUNTIF(Python読み込み用データ!$Q$4:$Q$13,Lavender!A20*1000),1,0)</f>
        <v>0</v>
      </c>
      <c r="P20" s="1">
        <f t="shared" si="10"/>
        <v>4.8139631222222229E-7</v>
      </c>
      <c r="Q20" s="1">
        <f t="shared" si="11"/>
        <v>3.6044646440000005E-7</v>
      </c>
      <c r="S20" s="1">
        <f>荷重解析!E16*0.01</f>
        <v>2.18437275E-2</v>
      </c>
      <c r="T20" s="1">
        <f>(荷重解析!F16+荷重解析!F17)/2*0.01</f>
        <v>9.7139955000000004E-4</v>
      </c>
      <c r="U20" s="1">
        <f>(荷重解析!G16+荷重解析!G17)/2*0.5*1.293*(荷重解析!C16^2+荷重解析!$B$1^2)*((C21+C20)/2)*0.01*COS(RADIANS(荷重解析!D16))</f>
        <v>4.6286312923539771E-4</v>
      </c>
      <c r="V20" s="1">
        <f t="shared" si="12"/>
        <v>1.4342626792353977E-3</v>
      </c>
      <c r="W20" s="1">
        <f>(荷重解析!H16+荷重解析!H17)/2*0.5*1.293*(荷重解析!C16^2+荷重解析!$B$1^2)*((C21+C20)/2)^2*0.01</f>
        <v>-3.7821835773148293E-4</v>
      </c>
      <c r="Y20" s="1">
        <f>IF(A20=プロパティ!$D$3,S20-プロパティ!$D$8,S20)</f>
        <v>2.18437275E-2</v>
      </c>
      <c r="Z20" s="1">
        <f>SUM(Y21:$Y$91)*(($A21+$A20)/2-$A20)+Z21</f>
        <v>2.3940745597250009E-2</v>
      </c>
      <c r="AA20" s="1">
        <f>AB20*H20/1000/2*一般構造素材物性!$M$7/1000</f>
        <v>1.4151188941008999E-4</v>
      </c>
      <c r="AB20" s="1">
        <f t="shared" si="1"/>
        <v>3.0980214700045863E-3</v>
      </c>
      <c r="AC20" s="1">
        <f t="shared" si="13"/>
        <v>0.24434609527920614</v>
      </c>
      <c r="AD20" s="1">
        <f t="shared" si="14"/>
        <v>14</v>
      </c>
      <c r="AE20" s="1">
        <f t="shared" si="17"/>
        <v>3.1764992386296799E-2</v>
      </c>
      <c r="AF20" s="1">
        <f t="shared" si="2"/>
        <v>31.7649923862968</v>
      </c>
      <c r="AG20" s="1">
        <f t="shared" si="15"/>
        <v>15.558672201490054</v>
      </c>
      <c r="AH20" s="68">
        <f>-2/空力安定性!$G$36*SIN(AC20)^2*C20</f>
        <v>-9.2553066111546151E-2</v>
      </c>
      <c r="AI20" s="1">
        <f t="shared" si="16"/>
        <v>-1.4667765264475278E-2</v>
      </c>
      <c r="AJ20" s="1">
        <f>-2/空力安定性!$G$36/空力安定性!$G$47*A20*C20*SIN(AC20)</f>
        <v>-2.4867320431407706E-2</v>
      </c>
      <c r="AK20" s="1">
        <f>-4/空力安定性!$G$36/空力安定性!$G$47*A20*SIN(AC20)*COS(AC20)*C20</f>
        <v>-4.8257309477061333E-2</v>
      </c>
      <c r="AL20" s="1">
        <f>-4/空力安定性!$G$36/空力安定性!$G$47^2*COS(AC20)*(A20*COS(AC20)+AE20*SIN(AC20))*C20</f>
        <v>-0.21713246703313654</v>
      </c>
      <c r="AM20" s="1">
        <f>-4/空力安定性!$G$36/空力安定性!$G$47^2*C20*COS(AC20)*A20^2</f>
        <v>-1.2965858705074131E-2</v>
      </c>
      <c r="AN20" s="1">
        <f>4/空力安定性!$G$36/空力安定性!$G$47*2*A20*C20*SIN(AC20)</f>
        <v>9.9469281725630826E-2</v>
      </c>
      <c r="AO20" s="1">
        <f>4/空力安定性!$G$36/空力安定性!$G$47^2*2*(A20*COS(AC20)+AE20*SIN(AC20))*C20*A20</f>
        <v>2.9091358386833334E-2</v>
      </c>
      <c r="AP20" s="1">
        <f>8/空力安定性!$G$36/空力安定性!$G$47^2*A20^2*C20</f>
        <v>2.6725581395348839E-2</v>
      </c>
      <c r="AR20" s="1">
        <f>Y20*プロパティ!D$13</f>
        <v>0.13106236500000001</v>
      </c>
      <c r="AS20" s="1">
        <f>V20*プロパティ!$D$13</f>
        <v>8.6055760754123866E-3</v>
      </c>
      <c r="AT20" s="1">
        <f>Z20*プロパティ!D$13</f>
        <v>0.14364447358350005</v>
      </c>
      <c r="AU20" s="1">
        <f>SUM($AS21:AS$67)*(($A21+$A20)/2-$A20)+AU21</f>
        <v>1.400293469077502E-2</v>
      </c>
      <c r="AV20" s="1">
        <f t="shared" si="3"/>
        <v>1.8588128820027517E-2</v>
      </c>
      <c r="AW20" s="1">
        <f t="shared" si="18"/>
        <v>3.6948131787315577E-3</v>
      </c>
      <c r="AX20" s="1">
        <f t="shared" si="19"/>
        <v>0.21169720123063415</v>
      </c>
      <c r="AY20" s="1">
        <f t="shared" si="20"/>
        <v>2.4920491368685588E-4</v>
      </c>
    </row>
    <row r="21" spans="1:51">
      <c r="A21" s="1">
        <v>7.0000000000000007E-2</v>
      </c>
      <c r="C21" s="1">
        <v>0.17</v>
      </c>
      <c r="E21" s="1">
        <f t="shared" si="4"/>
        <v>2.8900000000000006E-2</v>
      </c>
      <c r="F21" s="1">
        <f>$C$7*荷重解析!$D$1-C21*(荷重解析!$D$1-0.25)</f>
        <v>4.250000000000001E-2</v>
      </c>
      <c r="G21" s="1">
        <f t="shared" si="5"/>
        <v>7.2250000000000023E-3</v>
      </c>
      <c r="H21" s="1">
        <f t="shared" si="6"/>
        <v>10.150700000000001</v>
      </c>
      <c r="I21" s="1">
        <f t="shared" si="7"/>
        <v>7.7277532867500005</v>
      </c>
      <c r="J21" s="1">
        <f t="shared" si="8"/>
        <v>8.5000000000000006E-4</v>
      </c>
      <c r="K21" s="1">
        <f>C21*0.01*一般構造素材物性!$H$22*2</f>
        <v>3.5360000000000003E-2</v>
      </c>
      <c r="L21" s="1">
        <f>一般構造素材物性!$H$34*0.01*Lavender!H21/1000+一般構造素材物性!$H$20*0.005*0.01*2</f>
        <v>5.1579955555555557E-2</v>
      </c>
      <c r="M21" s="1">
        <f>一般構造素材物性!$H$19*0.01*0.015</f>
        <v>1.35E-2</v>
      </c>
      <c r="N21" s="1">
        <f t="shared" si="9"/>
        <v>1.35E-2</v>
      </c>
      <c r="O21" s="1">
        <f>IF(COUNTIF(Python読み込み用データ!$Q$4:$Q$13,Lavender!A21*1000),1,0)</f>
        <v>0</v>
      </c>
      <c r="P21" s="1">
        <f t="shared" si="10"/>
        <v>5.583057822222223E-7</v>
      </c>
      <c r="Q21" s="1">
        <f t="shared" si="11"/>
        <v>3.6044646440000005E-7</v>
      </c>
      <c r="S21" s="1">
        <f>荷重解析!E17*0.01</f>
        <v>2.1782473100000001E-2</v>
      </c>
      <c r="T21" s="1">
        <f>(荷重解析!F17+荷重解析!F18)/2*0.01</f>
        <v>9.7882609999999995E-4</v>
      </c>
      <c r="U21" s="1">
        <f>(荷重解析!G17+荷重解析!G18)/2*0.5*1.293*(荷重解析!C17^2+荷重解析!$B$1^2)*((C22+C21)/2)*0.01*COS(RADIANS(荷重解析!D17))</f>
        <v>4.6508609970387929E-4</v>
      </c>
      <c r="V21" s="1">
        <f t="shared" si="12"/>
        <v>1.4439121997038792E-3</v>
      </c>
      <c r="W21" s="1">
        <f>(荷重解析!H17+荷重解析!H18)/2*0.5*1.293*(荷重解析!C17^2+荷重解析!$B$1^2)*((C22+C21)/2)^2*0.01</f>
        <v>-3.7874688913075666E-4</v>
      </c>
      <c r="Y21" s="1">
        <f>IF(A21=プロパティ!$D$3,S21-プロパティ!$D$8,S21)</f>
        <v>2.1782473100000001E-2</v>
      </c>
      <c r="Z21" s="1">
        <f>SUM(Y22:$Y$91)*(($A22+$A21)/2-$A21)+Z22</f>
        <v>2.2406157453250006E-2</v>
      </c>
      <c r="AA21" s="1">
        <f>AB21*H21/1000/2*一般構造素材物性!$M$7/1000</f>
        <v>1.3244105797580467E-4</v>
      </c>
      <c r="AB21" s="1">
        <f t="shared" si="1"/>
        <v>2.8994400599806395E-3</v>
      </c>
      <c r="AC21" s="1">
        <f t="shared" si="13"/>
        <v>0.24434609527920614</v>
      </c>
      <c r="AD21" s="1">
        <f t="shared" si="14"/>
        <v>14</v>
      </c>
      <c r="AE21" s="1">
        <f t="shared" si="17"/>
        <v>3.4208453339088861E-2</v>
      </c>
      <c r="AF21" s="1">
        <f t="shared" si="2"/>
        <v>34.208453339088862</v>
      </c>
      <c r="AG21" s="1">
        <f t="shared" si="15"/>
        <v>16.755493140066214</v>
      </c>
      <c r="AH21" s="68">
        <f>-2/空力安定性!$G$36*SIN(AC21)^2*C21</f>
        <v>-9.2553066111546151E-2</v>
      </c>
      <c r="AI21" s="1">
        <f t="shared" si="16"/>
        <v>-1.5796054900204148E-2</v>
      </c>
      <c r="AJ21" s="1">
        <f>-2/空力安定性!$G$36/空力安定性!$G$47*A21*C21*SIN(AC21)</f>
        <v>-2.6780191233823681E-2</v>
      </c>
      <c r="AK21" s="1">
        <f>-4/空力安定性!$G$36/空力安定性!$G$47*A21*SIN(AC21)*COS(AC21)*C21</f>
        <v>-5.1969410206066047E-2</v>
      </c>
      <c r="AL21" s="1">
        <f>-4/空力安定性!$G$36/空力安定性!$G$47^2*COS(AC21)*(A21*COS(AC21)+AE21*SIN(AC21))*C21</f>
        <v>-0.23383496449722393</v>
      </c>
      <c r="AM21" s="1">
        <f>-4/空力安定性!$G$36/空力安定性!$G$47^2*C21*COS(AC21)*A21^2</f>
        <v>-1.5037327255588933E-2</v>
      </c>
      <c r="AN21" s="1">
        <f>4/空力安定性!$G$36/空力安定性!$G$47*2*A21*C21*SIN(AC21)</f>
        <v>0.10712076493529472</v>
      </c>
      <c r="AO21" s="1">
        <f>4/空力安定性!$G$36/空力安定性!$G$47^2*2*(A21*COS(AC21)+AE21*SIN(AC21))*C21*A21</f>
        <v>3.3739090200114397E-2</v>
      </c>
      <c r="AP21" s="1">
        <f>8/空力安定性!$G$36/空力安定性!$G$47^2*A21^2*C21</f>
        <v>3.0995348837209308E-2</v>
      </c>
      <c r="AR21" s="1">
        <f>Y21*プロパティ!D$13</f>
        <v>0.1306948386</v>
      </c>
      <c r="AS21" s="1">
        <f>V21*プロパティ!$D$13</f>
        <v>8.663473198223276E-3</v>
      </c>
      <c r="AT21" s="1">
        <f>Z21*プロパティ!D$13</f>
        <v>0.13443694471950005</v>
      </c>
      <c r="AU21" s="1">
        <f>SUM($AS22:AS$67)*(($A22+$A21)/2-$A21)+AU22</f>
        <v>1.3207546917161734E-2</v>
      </c>
      <c r="AV21" s="1">
        <f t="shared" si="3"/>
        <v>1.7396640359883839E-2</v>
      </c>
      <c r="AW21" s="1">
        <f t="shared" si="18"/>
        <v>3.8806944669318327E-3</v>
      </c>
      <c r="AX21" s="1">
        <f t="shared" si="19"/>
        <v>0.22234741453496482</v>
      </c>
      <c r="AY21" s="1">
        <f t="shared" si="20"/>
        <v>2.8615304547417145E-4</v>
      </c>
    </row>
    <row r="22" spans="1:51">
      <c r="A22" s="1">
        <v>7.4999999999999997E-2</v>
      </c>
      <c r="C22" s="1">
        <v>0.17</v>
      </c>
      <c r="E22" s="1">
        <f t="shared" si="4"/>
        <v>2.8900000000000006E-2</v>
      </c>
      <c r="F22" s="1">
        <f>$C$7*荷重解析!$D$1-C22*(荷重解析!$D$1-0.25)</f>
        <v>4.250000000000001E-2</v>
      </c>
      <c r="G22" s="1">
        <f t="shared" si="5"/>
        <v>7.2250000000000023E-3</v>
      </c>
      <c r="H22" s="1">
        <f t="shared" si="6"/>
        <v>10.150700000000001</v>
      </c>
      <c r="I22" s="1">
        <f t="shared" si="7"/>
        <v>7.7277532867500005</v>
      </c>
      <c r="J22" s="1">
        <f t="shared" si="8"/>
        <v>8.5000000000000006E-4</v>
      </c>
      <c r="K22" s="1">
        <f>C22*0.01*一般構造素材物性!$H$22*2</f>
        <v>3.5360000000000003E-2</v>
      </c>
      <c r="L22" s="1">
        <f>一般構造素材物性!$H$34*0.01*Lavender!H22/1000+一般構造素材物性!$H$20*0.005*0.01*2</f>
        <v>5.1579955555555557E-2</v>
      </c>
      <c r="M22" s="1">
        <f>一般構造素材物性!$H$19*0.01*0.015</f>
        <v>1.35E-2</v>
      </c>
      <c r="N22" s="1">
        <f t="shared" si="9"/>
        <v>1.35E-2</v>
      </c>
      <c r="O22" s="1">
        <f>IF(COUNTIF(Python読み込み用データ!$Q$4:$Q$13,Lavender!A22*1000),1,0)</f>
        <v>0</v>
      </c>
      <c r="P22" s="1">
        <f t="shared" si="10"/>
        <v>6.4091225000000005E-7</v>
      </c>
      <c r="Q22" s="1">
        <f t="shared" si="11"/>
        <v>3.6044646440000005E-7</v>
      </c>
      <c r="S22" s="1">
        <f>荷重解析!E18*0.01</f>
        <v>2.1715273900000002E-2</v>
      </c>
      <c r="T22" s="1">
        <f>(荷重解析!F18+荷重解析!F19)/2*0.01</f>
        <v>9.8689090000000012E-4</v>
      </c>
      <c r="U22" s="1">
        <f>(荷重解析!G18+荷重解析!G19)/2*0.5*1.293*(荷重解析!C18^2+荷重解析!$B$1^2)*((C23+C22)/2)*0.01*COS(RADIANS(荷重解析!D18))</f>
        <v>4.6752122563174656E-4</v>
      </c>
      <c r="V22" s="1">
        <f t="shared" si="12"/>
        <v>1.4544121256317467E-3</v>
      </c>
      <c r="W22" s="1">
        <f>(荷重解析!H18+荷重解析!H19)/2*0.5*1.293*(荷重解析!C18^2+荷重解析!$B$1^2)*((C23+C22)/2)^2*0.01</f>
        <v>-3.7932615844106206E-4</v>
      </c>
      <c r="Y22" s="1">
        <f>IF(A22=プロパティ!$D$3,S22-プロパティ!$D$8,S22)</f>
        <v>2.1715273900000002E-2</v>
      </c>
      <c r="Z22" s="1">
        <f>SUM(Y23:$Y$91)*(($A23+$A22)/2-$A22)+Z23</f>
        <v>2.0926025492000004E-2</v>
      </c>
      <c r="AA22" s="1">
        <f>AB22*H22/1000/2*一般構造素材物性!$M$7/1000</f>
        <v>1.2369211281192433E-4</v>
      </c>
      <c r="AB22" s="1">
        <f t="shared" si="1"/>
        <v>2.7079054824226531E-3</v>
      </c>
      <c r="AC22" s="1">
        <f t="shared" si="13"/>
        <v>0.24434609527920614</v>
      </c>
      <c r="AD22" s="1">
        <f t="shared" si="14"/>
        <v>14</v>
      </c>
      <c r="AE22" s="1">
        <f t="shared" si="17"/>
        <v>3.6651914291880923E-2</v>
      </c>
      <c r="AF22" s="1">
        <f t="shared" si="2"/>
        <v>36.651914291880921</v>
      </c>
      <c r="AG22" s="1">
        <f t="shared" si="15"/>
        <v>17.95231407864237</v>
      </c>
      <c r="AH22" s="68">
        <f>-2/空力安定性!$G$36*SIN(AC22)^2*C22</f>
        <v>-9.2553066111546151E-2</v>
      </c>
      <c r="AI22" s="1">
        <f t="shared" si="16"/>
        <v>-1.6924344535933014E-2</v>
      </c>
      <c r="AJ22" s="1">
        <f>-2/空力安定性!$G$36/空力安定性!$G$47*A22*C22*SIN(AC22)</f>
        <v>-2.8693062036239659E-2</v>
      </c>
      <c r="AK22" s="1">
        <f>-4/空力安定性!$G$36/空力安定性!$G$47*A22*SIN(AC22)*COS(AC22)*C22</f>
        <v>-5.5681510935070767E-2</v>
      </c>
      <c r="AL22" s="1">
        <f>-4/空力安定性!$G$36/空力安定性!$G$47^2*COS(AC22)*(A22*COS(AC22)+AE22*SIN(AC22))*C22</f>
        <v>-0.25053746196131144</v>
      </c>
      <c r="AM22" s="1">
        <f>-4/空力安定性!$G$36/空力安定性!$G$47^2*C22*COS(AC22)*A22^2</f>
        <v>-1.7262237920956679E-2</v>
      </c>
      <c r="AN22" s="1">
        <f>4/空力安定性!$G$36/空力安定性!$G$47*2*A22*C22*SIN(AC22)</f>
        <v>0.11477224814495864</v>
      </c>
      <c r="AO22" s="1">
        <f>4/空力安定性!$G$36/空力安定性!$G$47^2*2*(A22*COS(AC22)+AE22*SIN(AC22))*C22*A22</f>
        <v>3.873109844400887E-2</v>
      </c>
      <c r="AP22" s="1">
        <f>8/空力安定性!$G$36/空力安定性!$G$47^2*A22^2*C22</f>
        <v>3.5581395348837204E-2</v>
      </c>
      <c r="AR22" s="1">
        <f>Y22*プロパティ!D$13</f>
        <v>0.13029164340000002</v>
      </c>
      <c r="AS22" s="1">
        <f>V22*プロパティ!$D$13</f>
        <v>8.7264727537904804E-3</v>
      </c>
      <c r="AT22" s="1">
        <f>Z22*プロパティ!D$13</f>
        <v>0.12555615295200001</v>
      </c>
      <c r="AU22" s="1">
        <f>SUM($AS23:AS$67)*(($A23+$A22)/2-$A22)+AU23</f>
        <v>1.2433817826544007E-2</v>
      </c>
      <c r="AV22" s="1">
        <f t="shared" si="3"/>
        <v>1.6247432894535917E-2</v>
      </c>
      <c r="AW22" s="1">
        <f t="shared" si="18"/>
        <v>4.0546608705306708E-3</v>
      </c>
      <c r="AX22" s="1">
        <f t="shared" si="19"/>
        <v>0.23231495523824774</v>
      </c>
      <c r="AY22" s="1">
        <f t="shared" si="20"/>
        <v>3.2495999014348976E-4</v>
      </c>
    </row>
    <row r="23" spans="1:51">
      <c r="A23" s="1">
        <v>0.08</v>
      </c>
      <c r="C23" s="1">
        <v>0.17</v>
      </c>
      <c r="E23" s="1">
        <f t="shared" si="4"/>
        <v>2.8900000000000006E-2</v>
      </c>
      <c r="F23" s="1">
        <f>$C$7*荷重解析!$D$1-C23*(荷重解析!$D$1-0.25)</f>
        <v>4.250000000000001E-2</v>
      </c>
      <c r="G23" s="1">
        <f t="shared" si="5"/>
        <v>7.2250000000000023E-3</v>
      </c>
      <c r="H23" s="1">
        <f t="shared" si="6"/>
        <v>10.150700000000001</v>
      </c>
      <c r="I23" s="1">
        <f t="shared" si="7"/>
        <v>7.7277532867500005</v>
      </c>
      <c r="J23" s="1">
        <f t="shared" si="8"/>
        <v>8.5000000000000006E-4</v>
      </c>
      <c r="K23" s="1">
        <f>C23*0.01*一般構造素材物性!$H$22*2</f>
        <v>3.5360000000000003E-2</v>
      </c>
      <c r="L23" s="1">
        <f>一般構造素材物性!$H$34*0.01*Lavender!H23/1000+一般構造素材物性!$H$20*0.005*0.01*2</f>
        <v>5.1579955555555557E-2</v>
      </c>
      <c r="M23" s="1">
        <f>一般構造素材物性!$H$19*0.01*0.015</f>
        <v>1.35E-2</v>
      </c>
      <c r="N23" s="1">
        <f t="shared" si="9"/>
        <v>1.35E-2</v>
      </c>
      <c r="O23" s="1">
        <f>IF(COUNTIF(Python読み込み用データ!$Q$4:$Q$13,Lavender!A23*1000),1,0)</f>
        <v>0</v>
      </c>
      <c r="P23" s="1">
        <f t="shared" si="10"/>
        <v>7.2921571555555566E-7</v>
      </c>
      <c r="Q23" s="1">
        <f t="shared" si="11"/>
        <v>3.6044646440000005E-7</v>
      </c>
      <c r="S23" s="1">
        <f>荷重解析!E19*0.01</f>
        <v>2.1641775200000001E-2</v>
      </c>
      <c r="T23" s="1">
        <f>(荷重解析!F19+荷重解析!F20)/2*0.01</f>
        <v>9.9562260000000025E-4</v>
      </c>
      <c r="U23" s="1">
        <f>(荷重解析!G19+荷重解析!G20)/2*0.5*1.293*(荷重解析!C19^2+荷重解析!$B$1^2)*((C24+C23)/2)*0.01*COS(RADIANS(荷重解析!D19))</f>
        <v>4.7018317843283117E-4</v>
      </c>
      <c r="V23" s="1">
        <f t="shared" si="12"/>
        <v>1.4658057784328314E-3</v>
      </c>
      <c r="W23" s="1">
        <f>(荷重解析!H19+荷重解析!H20)/2*0.5*1.293*(荷重解析!C19^2+荷重解析!$B$1^2)*((C24+C23)/2)^2*0.01</f>
        <v>-3.7995978728075293E-4</v>
      </c>
      <c r="Y23" s="1">
        <f>IF(A23=プロパティ!$D$3,S23-プロパティ!$D$8,S23)</f>
        <v>2.1641775200000001E-2</v>
      </c>
      <c r="Z23" s="1">
        <f>SUM(Y24:$Y$91)*(($A24+$A23)/2-$A23)+Z24</f>
        <v>1.9500181715500001E-2</v>
      </c>
      <c r="AA23" s="1">
        <f>AB23*H23/1000/2*一般構造素材物性!$M$7/1000</f>
        <v>1.152640608953077E-4</v>
      </c>
      <c r="AB23" s="1">
        <f t="shared" si="1"/>
        <v>2.5233959977649643E-3</v>
      </c>
      <c r="AC23" s="1">
        <f t="shared" si="13"/>
        <v>0.24434609527920614</v>
      </c>
      <c r="AD23" s="1">
        <f t="shared" si="14"/>
        <v>14</v>
      </c>
      <c r="AE23" s="1">
        <f t="shared" si="17"/>
        <v>3.9095375244672985E-2</v>
      </c>
      <c r="AF23" s="1">
        <f t="shared" si="2"/>
        <v>39.095375244672987</v>
      </c>
      <c r="AG23" s="1">
        <f t="shared" si="15"/>
        <v>19.14913501721853</v>
      </c>
      <c r="AH23" s="68">
        <f>-2/空力安定性!$G$36*SIN(AC23)^2*C23</f>
        <v>-9.2553066111546151E-2</v>
      </c>
      <c r="AI23" s="1">
        <f t="shared" si="16"/>
        <v>-1.8052634171661881E-2</v>
      </c>
      <c r="AJ23" s="1">
        <f>-2/空力安定性!$G$36/空力安定性!$G$47*A23*C23*SIN(AC23)</f>
        <v>-3.0605932838655637E-2</v>
      </c>
      <c r="AK23" s="1">
        <f>-4/空力安定性!$G$36/空力安定性!$G$47*A23*SIN(AC23)*COS(AC23)*C23</f>
        <v>-5.9393611664075481E-2</v>
      </c>
      <c r="AL23" s="1">
        <f>-4/空力安定性!$G$36/空力安定性!$G$47^2*COS(AC23)*(A23*COS(AC23)+AE23*SIN(AC23))*C23</f>
        <v>-0.26723995942539885</v>
      </c>
      <c r="AM23" s="1">
        <f>-4/空力安定性!$G$36/空力安定性!$G$47^2*C23*COS(AC23)*A23^2</f>
        <v>-1.9640590701177379E-2</v>
      </c>
      <c r="AN23" s="1">
        <f>4/空力安定性!$G$36/空力安定性!$G$47*2*A23*C23*SIN(AC23)</f>
        <v>0.12242373135462255</v>
      </c>
      <c r="AO23" s="1">
        <f>4/空力安定性!$G$36/空力安定性!$G$47^2*2*(A23*COS(AC23)+AE23*SIN(AC23))*C23*A23</f>
        <v>4.4067383118516761E-2</v>
      </c>
      <c r="AP23" s="1">
        <f>8/空力安定性!$G$36/空力安定性!$G$47^2*A23^2*C23</f>
        <v>4.0483720930232558E-2</v>
      </c>
      <c r="AR23" s="1">
        <f>Y23*プロパティ!D$13</f>
        <v>0.1298506512</v>
      </c>
      <c r="AS23" s="1">
        <f>V23*プロパティ!$D$13</f>
        <v>8.794834670596989E-3</v>
      </c>
      <c r="AT23" s="1">
        <f>Z23*プロパティ!D$13</f>
        <v>0.11700109029300002</v>
      </c>
      <c r="AU23" s="1">
        <f>SUM($AS24:AS$67)*(($A24+$A23)/2-$A23)+AU24</f>
        <v>1.1681904917810756E-2</v>
      </c>
      <c r="AV23" s="1">
        <f t="shared" si="3"/>
        <v>1.5140375986589788E-2</v>
      </c>
      <c r="AW23" s="1">
        <f t="shared" si="18"/>
        <v>4.2171351994760298E-3</v>
      </c>
      <c r="AX23" s="1">
        <f t="shared" si="19"/>
        <v>0.24162404856603703</v>
      </c>
      <c r="AY23" s="1">
        <f t="shared" si="20"/>
        <v>3.6550659884879649E-4</v>
      </c>
    </row>
    <row r="24" spans="1:51">
      <c r="A24" s="1">
        <v>8.5000000000000006E-2</v>
      </c>
      <c r="C24" s="1">
        <v>0.17</v>
      </c>
      <c r="E24" s="1">
        <f t="shared" si="4"/>
        <v>2.8900000000000006E-2</v>
      </c>
      <c r="F24" s="1">
        <f>$C$7*荷重解析!$D$1-C24*(荷重解析!$D$1-0.25)</f>
        <v>4.250000000000001E-2</v>
      </c>
      <c r="G24" s="1">
        <f t="shared" si="5"/>
        <v>7.2250000000000023E-3</v>
      </c>
      <c r="H24" s="1">
        <f t="shared" si="6"/>
        <v>10.150700000000001</v>
      </c>
      <c r="I24" s="1">
        <f t="shared" si="7"/>
        <v>7.7277532867500005</v>
      </c>
      <c r="J24" s="1">
        <f t="shared" si="8"/>
        <v>8.5000000000000006E-4</v>
      </c>
      <c r="K24" s="1">
        <f>C24*0.01*一般構造素材物性!$H$22*2</f>
        <v>3.5360000000000003E-2</v>
      </c>
      <c r="L24" s="1">
        <f>一般構造素材物性!$H$34*0.01*Lavender!H24/1000+一般構造素材物性!$H$20*0.005*0.01*2</f>
        <v>5.1579955555555557E-2</v>
      </c>
      <c r="M24" s="1">
        <f>一般構造素材物性!$H$19*0.01*0.015</f>
        <v>1.35E-2</v>
      </c>
      <c r="N24" s="1">
        <f t="shared" si="9"/>
        <v>1.35E-2</v>
      </c>
      <c r="O24" s="1">
        <f>IF(COUNTIF(Python読み込み用データ!$Q$4:$Q$13,Lavender!A24*1000),1,0)</f>
        <v>0</v>
      </c>
      <c r="P24" s="1">
        <f t="shared" si="10"/>
        <v>8.2321617888888912E-7</v>
      </c>
      <c r="Q24" s="1">
        <f t="shared" si="11"/>
        <v>3.6044646440000005E-7</v>
      </c>
      <c r="S24" s="1">
        <f>荷重解析!E20*0.01</f>
        <v>2.1561482399999998E-2</v>
      </c>
      <c r="T24" s="1">
        <f>(荷重解析!F20+荷重解析!F21)/2*0.01</f>
        <v>1.0050522500000001E-3</v>
      </c>
      <c r="U24" s="1">
        <f>(荷重解析!G20+荷重解析!G21)/2*0.5*1.293*(荷重解析!C20^2+荷重解析!$B$1^2)*((C25+C24)/2)*0.01*COS(RADIANS(荷重解析!D20))</f>
        <v>4.7308860516468012E-4</v>
      </c>
      <c r="V24" s="1">
        <f t="shared" si="12"/>
        <v>1.4781408551646801E-3</v>
      </c>
      <c r="W24" s="1">
        <f>(荷重解析!H20+荷重解析!H21)/2*0.5*1.293*(荷重解析!C20^2+荷重解析!$B$1^2)*((C25+C24)/2)^2*0.01</f>
        <v>-3.8065144595616552E-4</v>
      </c>
      <c r="Y24" s="1">
        <f>IF(A24=プロパティ!$D$3,S24-プロパティ!$D$8,S24)</f>
        <v>2.1561482399999998E-2</v>
      </c>
      <c r="Z24" s="1">
        <f>SUM(Y25:$Y$91)*(($A25+$A24)/2-$A24)+Z25</f>
        <v>1.8128442376999999E-2</v>
      </c>
      <c r="AA24" s="1">
        <f>AB24*H24/1000/2*一般構造素材物性!$M$7/1000</f>
        <v>1.0715581611317446E-4</v>
      </c>
      <c r="AB24" s="1">
        <f t="shared" si="1"/>
        <v>2.345887828495122E-3</v>
      </c>
      <c r="AC24" s="1">
        <f t="shared" si="13"/>
        <v>0.24434609527920614</v>
      </c>
      <c r="AD24" s="1">
        <f t="shared" si="14"/>
        <v>14</v>
      </c>
      <c r="AE24" s="1">
        <f t="shared" si="17"/>
        <v>4.1538836197465047E-2</v>
      </c>
      <c r="AF24" s="1">
        <f t="shared" si="2"/>
        <v>41.538836197465045</v>
      </c>
      <c r="AG24" s="1">
        <f t="shared" si="15"/>
        <v>20.345955955794686</v>
      </c>
      <c r="AH24" s="68">
        <f>-2/空力安定性!$G$36*SIN(AC24)^2*C24</f>
        <v>-9.2553066111546151E-2</v>
      </c>
      <c r="AI24" s="1">
        <f t="shared" si="16"/>
        <v>-1.9180923807390751E-2</v>
      </c>
      <c r="AJ24" s="1">
        <f>-2/空力安定性!$G$36/空力安定性!$G$47*A24*C24*SIN(AC24)</f>
        <v>-3.2518803641071618E-2</v>
      </c>
      <c r="AK24" s="1">
        <f>-4/空力安定性!$G$36/空力安定性!$G$47*A24*SIN(AC24)*COS(AC24)*C24</f>
        <v>-6.3105712393080216E-2</v>
      </c>
      <c r="AL24" s="1">
        <f>-4/空力安定性!$G$36/空力安定性!$G$47^2*COS(AC24)*(A24*COS(AC24)+AE24*SIN(AC24))*C24</f>
        <v>-0.28394245688948622</v>
      </c>
      <c r="AM24" s="1">
        <f>-4/空力安定性!$G$36/空力安定性!$G$47^2*C24*COS(AC24)*A24^2</f>
        <v>-2.2172385596251031E-2</v>
      </c>
      <c r="AN24" s="1">
        <f>4/空力安定性!$G$36/空力安定性!$G$47*2*A24*C24*SIN(AC24)</f>
        <v>0.13007521456428647</v>
      </c>
      <c r="AO24" s="1">
        <f>4/空力安定性!$G$36/空力安定性!$G$47^2*2*(A24*COS(AC24)+AE24*SIN(AC24))*C24*A24</f>
        <v>4.9747944223638069E-2</v>
      </c>
      <c r="AP24" s="1">
        <f>8/空力安定性!$G$36/空力安定性!$G$47^2*A24^2*C24</f>
        <v>4.5702325581395351E-2</v>
      </c>
      <c r="AR24" s="1">
        <f>Y24*プロパティ!D$13</f>
        <v>0.12936889439999999</v>
      </c>
      <c r="AS24" s="1">
        <f>V24*プロパティ!$D$13</f>
        <v>8.8688451309880817E-3</v>
      </c>
      <c r="AT24" s="1">
        <f>Z24*プロパティ!D$13</f>
        <v>0.108770654262</v>
      </c>
      <c r="AU24" s="1">
        <f>SUM($AS25:AS$67)*(($A25+$A24)/2-$A24)+AU25</f>
        <v>1.0951979095753997E-2</v>
      </c>
      <c r="AV24" s="1">
        <f t="shared" si="3"/>
        <v>1.4075326970970732E-2</v>
      </c>
      <c r="AW24" s="1">
        <f t="shared" si="18"/>
        <v>4.3685389593419279E-3</v>
      </c>
      <c r="AX24" s="1">
        <f t="shared" si="19"/>
        <v>0.2502988450087652</v>
      </c>
      <c r="AY24" s="1">
        <f t="shared" si="20"/>
        <v>4.0767795084355678E-4</v>
      </c>
    </row>
    <row r="25" spans="1:51">
      <c r="A25" s="1">
        <v>0.09</v>
      </c>
      <c r="C25" s="1">
        <v>0.17</v>
      </c>
      <c r="E25" s="1">
        <f t="shared" si="4"/>
        <v>2.8900000000000006E-2</v>
      </c>
      <c r="F25" s="1">
        <f>$C$7*荷重解析!$D$1-C25*(荷重解析!$D$1-0.25)</f>
        <v>4.250000000000001E-2</v>
      </c>
      <c r="G25" s="1">
        <f t="shared" si="5"/>
        <v>7.2250000000000023E-3</v>
      </c>
      <c r="H25" s="1">
        <f t="shared" si="6"/>
        <v>10.150700000000001</v>
      </c>
      <c r="I25" s="1">
        <f t="shared" si="7"/>
        <v>7.7277532867500005</v>
      </c>
      <c r="J25" s="1">
        <f t="shared" si="8"/>
        <v>8.5000000000000006E-4</v>
      </c>
      <c r="K25" s="1">
        <f>C25*0.01*一般構造素材物性!$H$22*2</f>
        <v>3.5360000000000003E-2</v>
      </c>
      <c r="L25" s="1">
        <f>一般構造素材物性!$H$34*0.01*Lavender!H25/1000+一般構造素材物性!$H$20*0.005*0.01*2</f>
        <v>5.1579955555555557E-2</v>
      </c>
      <c r="M25" s="1">
        <f>一般構造素材物性!$H$19*0.01*0.015</f>
        <v>1.35E-2</v>
      </c>
      <c r="N25" s="1">
        <f t="shared" si="9"/>
        <v>1.35E-2</v>
      </c>
      <c r="O25" s="1">
        <f>IF(COUNTIF(Python読み込み用データ!$Q$4:$Q$13,Lavender!A25*1000),1,0)</f>
        <v>0</v>
      </c>
      <c r="P25" s="1">
        <f t="shared" si="10"/>
        <v>9.2291364000000002E-7</v>
      </c>
      <c r="Q25" s="1">
        <f t="shared" si="11"/>
        <v>3.6044646440000005E-7</v>
      </c>
      <c r="S25" s="1">
        <f>荷重解析!E21*0.01</f>
        <v>2.1473936199999998E-2</v>
      </c>
      <c r="T25" s="1">
        <f>(荷重解析!F21+荷重解析!F22)/2*0.01</f>
        <v>1.0152131000000001E-3</v>
      </c>
      <c r="U25" s="1">
        <f>(荷重解析!G21+荷重解析!G22)/2*0.5*1.293*(荷重解析!C21^2+荷重解析!$B$1^2)*((C26+C25)/2)*0.01*COS(RADIANS(荷重解析!D21))</f>
        <v>4.7625620022562838E-4</v>
      </c>
      <c r="V25" s="1">
        <f t="shared" si="12"/>
        <v>1.4914693002256285E-3</v>
      </c>
      <c r="W25" s="1">
        <f>(荷重解析!H21+荷重解析!H22)/2*0.5*1.293*(荷重解析!C21^2+荷重解析!$B$1^2)*((C26+C25)/2)^2*0.01</f>
        <v>-3.8140580182566524E-4</v>
      </c>
      <c r="Y25" s="1">
        <f>IF(A25=プロパティ!$D$3,S25-プロパティ!$D$8,S25)</f>
        <v>2.1473936199999998E-2</v>
      </c>
      <c r="Z25" s="1">
        <f>SUM(Y26:$Y$91)*(($A26+$A25)/2-$A25)+Z26</f>
        <v>1.6810606744500006E-2</v>
      </c>
      <c r="AA25" s="1">
        <f>AB25*H25/1000/2*一般構造素材物性!$M$7/1000</f>
        <v>9.9366191954249503E-5</v>
      </c>
      <c r="AB25" s="1">
        <f t="shared" si="1"/>
        <v>2.175354999146189E-3</v>
      </c>
      <c r="AC25" s="1">
        <f t="shared" si="13"/>
        <v>0.24434609527920614</v>
      </c>
      <c r="AD25" s="1">
        <f t="shared" si="14"/>
        <v>14</v>
      </c>
      <c r="AE25" s="1">
        <f t="shared" si="17"/>
        <v>4.3982297150257109E-2</v>
      </c>
      <c r="AF25" s="1">
        <f t="shared" si="2"/>
        <v>43.982297150257111</v>
      </c>
      <c r="AG25" s="1">
        <f t="shared" si="15"/>
        <v>21.542776894370849</v>
      </c>
      <c r="AH25" s="68">
        <f>-2/空力安定性!$G$36*SIN(AC25)^2*C25</f>
        <v>-9.2553066111546151E-2</v>
      </c>
      <c r="AI25" s="1">
        <f t="shared" si="16"/>
        <v>-2.0309213443119617E-2</v>
      </c>
      <c r="AJ25" s="1">
        <f>-2/空力安定性!$G$36/空力安定性!$G$47*A25*C25*SIN(AC25)</f>
        <v>-3.4431674443487589E-2</v>
      </c>
      <c r="AK25" s="1">
        <f>-4/空力安定性!$G$36/空力安定性!$G$47*A25*SIN(AC25)*COS(AC25)*C25</f>
        <v>-6.6817813122084915E-2</v>
      </c>
      <c r="AL25" s="1">
        <f>-4/空力安定性!$G$36/空力安定性!$G$47^2*COS(AC25)*(A25*COS(AC25)+AE25*SIN(AC25))*C25</f>
        <v>-0.30064495435357369</v>
      </c>
      <c r="AM25" s="1">
        <f>-4/空力安定性!$G$36/空力安定性!$G$47^2*C25*COS(AC25)*A25^2</f>
        <v>-2.4857622606177618E-2</v>
      </c>
      <c r="AN25" s="1">
        <f>4/空力安定性!$G$36/空力安定性!$G$47*2*A25*C25*SIN(AC25)</f>
        <v>0.13772669777395036</v>
      </c>
      <c r="AO25" s="1">
        <f>4/空力安定性!$G$36/空力安定性!$G$47^2*2*(A25*COS(AC25)+AE25*SIN(AC25))*C25*A25</f>
        <v>5.5772781759372773E-2</v>
      </c>
      <c r="AP25" s="1">
        <f>8/空力安定性!$G$36/空力安定性!$G$47^2*A25^2*C25</f>
        <v>5.123720930232558E-2</v>
      </c>
      <c r="AR25" s="1">
        <f>Y25*プロパティ!D$13</f>
        <v>0.12884361719999998</v>
      </c>
      <c r="AS25" s="1">
        <f>V25*プロパティ!$D$13</f>
        <v>8.9488158013537704E-3</v>
      </c>
      <c r="AT25" s="1">
        <f>Z25*プロパティ!D$13</f>
        <v>0.10086364046700003</v>
      </c>
      <c r="AU25" s="1">
        <f>SUM($AS26:AS$67)*(($A26+$A25)/2-$A25)+AU26</f>
        <v>1.0244225386524712E-2</v>
      </c>
      <c r="AV25" s="1">
        <f t="shared" si="3"/>
        <v>1.3052129994877133E-2</v>
      </c>
      <c r="AW25" s="1">
        <f t="shared" si="18"/>
        <v>4.5092922290516351E-3</v>
      </c>
      <c r="AX25" s="1">
        <f t="shared" si="19"/>
        <v>0.25836341331579799</v>
      </c>
      <c r="AY25" s="1">
        <f t="shared" si="20"/>
        <v>4.5136334043697606E-4</v>
      </c>
    </row>
    <row r="26" spans="1:51">
      <c r="A26" s="1">
        <v>9.5000000000000001E-2</v>
      </c>
      <c r="C26" s="1">
        <v>0.17</v>
      </c>
      <c r="E26" s="1">
        <f t="shared" si="4"/>
        <v>2.8900000000000006E-2</v>
      </c>
      <c r="F26" s="1">
        <f>$C$7*荷重解析!$D$1-C26*(荷重解析!$D$1-0.25)</f>
        <v>4.250000000000001E-2</v>
      </c>
      <c r="G26" s="1">
        <f t="shared" si="5"/>
        <v>7.2250000000000023E-3</v>
      </c>
      <c r="H26" s="1">
        <f t="shared" si="6"/>
        <v>10.150700000000001</v>
      </c>
      <c r="I26" s="1">
        <f t="shared" si="7"/>
        <v>7.7277532867500005</v>
      </c>
      <c r="J26" s="1">
        <f t="shared" si="8"/>
        <v>8.5000000000000006E-4</v>
      </c>
      <c r="K26" s="1">
        <f>C26*0.01*一般構造素材物性!$H$22*2</f>
        <v>3.5360000000000003E-2</v>
      </c>
      <c r="L26" s="1">
        <f>一般構造素材物性!$H$34*0.01*Lavender!H26/1000+一般構造素材物性!$H$20*0.005*0.01*2</f>
        <v>5.1579955555555557E-2</v>
      </c>
      <c r="M26" s="1">
        <f>一般構造素材物性!$H$19*0.01*0.015</f>
        <v>1.35E-2</v>
      </c>
      <c r="N26" s="1">
        <f t="shared" si="9"/>
        <v>1.35E-2</v>
      </c>
      <c r="O26" s="1">
        <f>IF(COUNTIF(Python読み込み用データ!$Q$4:$Q$13,Lavender!A26*1000),1,0)</f>
        <v>0</v>
      </c>
      <c r="P26" s="1">
        <f t="shared" si="10"/>
        <v>1.028308098888889E-6</v>
      </c>
      <c r="Q26" s="1">
        <f t="shared" si="11"/>
        <v>3.6044646440000005E-7</v>
      </c>
      <c r="S26" s="1">
        <f>荷重解析!E22*0.01</f>
        <v>2.1378523399999998E-2</v>
      </c>
      <c r="T26" s="1">
        <f>(荷重解析!F22+荷重解析!F23)/2*0.01</f>
        <v>1.0261473500000002E-3</v>
      </c>
      <c r="U26" s="1">
        <f>(荷重解析!G22+荷重解析!G23)/2*0.5*1.293*(荷重解析!C22^2+荷重解析!$B$1^2)*((C27+C26)/2)*0.01*COS(RADIANS(荷重解析!D22))</f>
        <v>4.7970916577045171E-4</v>
      </c>
      <c r="V26" s="1">
        <f t="shared" si="12"/>
        <v>1.5058565157704518E-3</v>
      </c>
      <c r="W26" s="1">
        <f>(荷重解析!H22+荷重解析!H23)/2*0.5*1.293*(荷重解析!C22^2+荷重解析!$B$1^2)*((C27+C26)/2)^2*0.01</f>
        <v>-3.8222857216351175E-4</v>
      </c>
      <c r="Y26" s="1">
        <f>IF(A26=プロパティ!$D$3,S26-プロパティ!$D$8,S26)</f>
        <v>2.1378523399999998E-2</v>
      </c>
      <c r="Z26" s="1">
        <f>SUM(Y27:$Y$91)*(($A27+$A26)/2-$A26)+Z27</f>
        <v>1.5546455952500003E-2</v>
      </c>
      <c r="AA26" s="1">
        <f>AB26*H26/1000/2*一般構造素材物性!$M$7/1000</f>
        <v>9.1893894721546305E-5</v>
      </c>
      <c r="AB26" s="1">
        <f t="shared" si="1"/>
        <v>2.0117691877089222E-3</v>
      </c>
      <c r="AC26" s="1">
        <f t="shared" si="13"/>
        <v>0.24434609527920614</v>
      </c>
      <c r="AD26" s="1">
        <f t="shared" si="14"/>
        <v>14</v>
      </c>
      <c r="AE26" s="1">
        <f t="shared" si="17"/>
        <v>4.6425758103049171E-2</v>
      </c>
      <c r="AF26" s="1">
        <f t="shared" si="2"/>
        <v>46.425758103049169</v>
      </c>
      <c r="AG26" s="1">
        <f t="shared" si="15"/>
        <v>22.739597832947005</v>
      </c>
      <c r="AH26" s="68">
        <f>-2/空力安定性!$G$36*SIN(AC26)^2*C26</f>
        <v>-9.2553066111546151E-2</v>
      </c>
      <c r="AI26" s="1">
        <f t="shared" si="16"/>
        <v>-2.1437503078848487E-2</v>
      </c>
      <c r="AJ26" s="1">
        <f>-2/空力安定性!$G$36/空力安定性!$G$47*A26*C26*SIN(AC26)</f>
        <v>-3.6344545245903567E-2</v>
      </c>
      <c r="AK26" s="1">
        <f>-4/空力安定性!$G$36/空力安定性!$G$47*A26*SIN(AC26)*COS(AC26)*C26</f>
        <v>-7.0529913851089629E-2</v>
      </c>
      <c r="AL26" s="1">
        <f>-4/空力安定性!$G$36/空力安定性!$G$47^2*COS(AC26)*(A26*COS(AC26)+AE26*SIN(AC26))*C26</f>
        <v>-0.31734745181766111</v>
      </c>
      <c r="AM26" s="1">
        <f>-4/空力安定性!$G$36/空力安定性!$G$47^2*C26*COS(AC26)*A26^2</f>
        <v>-2.7696301730957162E-2</v>
      </c>
      <c r="AN26" s="1">
        <f>4/空力安定性!$G$36/空力安定性!$G$47*2*A26*C26*SIN(AC26)</f>
        <v>0.14537818098361427</v>
      </c>
      <c r="AO26" s="1">
        <f>4/空力安定性!$G$36/空力安定性!$G$47^2*2*(A26*COS(AC26)+AE26*SIN(AC26))*C26*A26</f>
        <v>6.2141895725720903E-2</v>
      </c>
      <c r="AP26" s="1">
        <f>8/空力安定性!$G$36/空力安定性!$G$47^2*A26^2*C26</f>
        <v>5.7088372093023254E-2</v>
      </c>
      <c r="AR26" s="1">
        <f>Y26*プロパティ!D$13</f>
        <v>0.12827114039999998</v>
      </c>
      <c r="AS26" s="1">
        <f>V26*プロパティ!$D$13</f>
        <v>9.03513909462271E-3</v>
      </c>
      <c r="AT26" s="1">
        <f>Z26*プロパティ!D$13</f>
        <v>9.3278735715000019E-2</v>
      </c>
      <c r="AU26" s="1">
        <f>SUM($AS27:AS$67)*(($A27+$A26)/2-$A26)+AU27</f>
        <v>9.5588437167988087E-3</v>
      </c>
      <c r="AV26" s="1">
        <f t="shared" si="3"/>
        <v>1.2070615126253533E-2</v>
      </c>
      <c r="AW26" s="1">
        <f t="shared" si="18"/>
        <v>4.6398135290004064E-3</v>
      </c>
      <c r="AX26" s="1">
        <f t="shared" si="19"/>
        <v>0.2658417329394237</v>
      </c>
      <c r="AY26" s="1">
        <f t="shared" si="20"/>
        <v>4.9645626272749237E-4</v>
      </c>
    </row>
    <row r="27" spans="1:51">
      <c r="A27" s="1">
        <v>0.1</v>
      </c>
      <c r="C27" s="1">
        <v>0.17</v>
      </c>
      <c r="E27" s="1">
        <f t="shared" si="4"/>
        <v>2.8900000000000006E-2</v>
      </c>
      <c r="F27" s="1">
        <f>$C$7*荷重解析!$D$1-C27*(荷重解析!$D$1-0.25)</f>
        <v>4.250000000000001E-2</v>
      </c>
      <c r="G27" s="1">
        <f t="shared" si="5"/>
        <v>7.2250000000000023E-3</v>
      </c>
      <c r="H27" s="1">
        <f t="shared" si="6"/>
        <v>10.150700000000001</v>
      </c>
      <c r="I27" s="1">
        <f t="shared" si="7"/>
        <v>7.7277532867500005</v>
      </c>
      <c r="J27" s="1">
        <f t="shared" si="8"/>
        <v>8.5000000000000006E-4</v>
      </c>
      <c r="K27" s="1">
        <f>C27*0.01*一般構造素材物性!$H$22*2</f>
        <v>3.5360000000000003E-2</v>
      </c>
      <c r="L27" s="1">
        <f>一般構造素材物性!$H$34*0.01*Lavender!H27/1000+一般構造素材物性!$H$20*0.005*0.01*2</f>
        <v>5.1579955555555557E-2</v>
      </c>
      <c r="M27" s="1">
        <f>一般構造素材物性!$H$19*0.01*0.015</f>
        <v>1.35E-2</v>
      </c>
      <c r="N27" s="1">
        <f t="shared" si="9"/>
        <v>1.35E-2</v>
      </c>
      <c r="O27" s="1">
        <f>IF(COUNTIF(Python読み込み用データ!$Q$4:$Q$13,Lavender!A27*1000),1,0)</f>
        <v>1</v>
      </c>
      <c r="P27" s="1">
        <f t="shared" si="10"/>
        <v>1.1139399555555559E-5</v>
      </c>
      <c r="Q27" s="1">
        <f t="shared" si="11"/>
        <v>3.6044646440000005E-7</v>
      </c>
      <c r="S27" s="1">
        <f>荷重解析!E23*0.01</f>
        <v>2.1274516600000001E-2</v>
      </c>
      <c r="T27" s="1">
        <f>(荷重解析!F23+荷重解析!F24)/2*0.01</f>
        <v>1.03790435E-3</v>
      </c>
      <c r="U27" s="1">
        <f>(荷重解析!G23+荷重解析!G24)/2*0.5*1.293*(荷重解析!C23^2+荷重解析!$B$1^2)*((C28+C27)/2)*0.01*COS(RADIANS(荷重解析!D23))</f>
        <v>4.834753078375066E-4</v>
      </c>
      <c r="V27" s="1">
        <f t="shared" si="12"/>
        <v>1.5213796578375065E-3</v>
      </c>
      <c r="W27" s="1">
        <f>(荷重解析!H23+荷重解析!H24)/2*0.5*1.293*(荷重解析!C23^2+荷重解析!$B$1^2)*((C28+C27)/2)^2*0.01</f>
        <v>-3.8312635408001608E-4</v>
      </c>
      <c r="Y27" s="1">
        <f>IF(A27=プロパティ!$D$3,S27-プロパティ!$D$8,S27)</f>
        <v>2.1274516600000001E-2</v>
      </c>
      <c r="Z27" s="1">
        <f>SUM(Y28:$Y$91)*(($A28+$A27)/2-$A27)+Z28</f>
        <v>1.4335751469000003E-2</v>
      </c>
      <c r="AA27" s="1">
        <f>AB27*H27/1000/2*一般構造素材物性!$M$7/1000</f>
        <v>8.4737514470923218E-5</v>
      </c>
      <c r="AB27" s="1">
        <f t="shared" si="1"/>
        <v>1.8550995272558805E-3</v>
      </c>
      <c r="AC27" s="1">
        <f t="shared" si="13"/>
        <v>0.24434609527920614</v>
      </c>
      <c r="AD27" s="1">
        <f t="shared" si="14"/>
        <v>14</v>
      </c>
      <c r="AE27" s="1">
        <f t="shared" si="17"/>
        <v>4.8869219055841233E-2</v>
      </c>
      <c r="AF27" s="1">
        <f t="shared" si="2"/>
        <v>48.869219055841235</v>
      </c>
      <c r="AG27" s="1">
        <f t="shared" si="15"/>
        <v>23.936418771523165</v>
      </c>
      <c r="AH27" s="68">
        <f>-2/空力安定性!$G$36*SIN(AC27)^2*C27</f>
        <v>-9.2553066111546151E-2</v>
      </c>
      <c r="AI27" s="1">
        <f t="shared" si="16"/>
        <v>-2.2565792714577353E-2</v>
      </c>
      <c r="AJ27" s="1">
        <f>-2/空力安定性!$G$36/空力安定性!$G$47*A27*C27*SIN(AC27)</f>
        <v>-3.8257416048319545E-2</v>
      </c>
      <c r="AK27" s="1">
        <f>-4/空力安定性!$G$36/空力安定性!$G$47*A27*SIN(AC27)*COS(AC27)*C27</f>
        <v>-7.4242014580094357E-2</v>
      </c>
      <c r="AL27" s="1">
        <f>-4/空力安定性!$G$36/空力安定性!$G$47^2*COS(AC27)*(A27*COS(AC27)+AE27*SIN(AC27))*C27</f>
        <v>-0.33404994928174853</v>
      </c>
      <c r="AM27" s="1">
        <f>-4/空力安定性!$G$36/空力安定性!$G$47^2*C27*COS(AC27)*A27^2</f>
        <v>-3.0688422970589661E-2</v>
      </c>
      <c r="AN27" s="1">
        <f>4/空力安定性!$G$36/空力安定性!$G$47*2*A27*C27*SIN(AC27)</f>
        <v>0.15302966419327818</v>
      </c>
      <c r="AO27" s="1">
        <f>4/空力安定性!$G$36/空力安定性!$G$47^2*2*(A27*COS(AC27)+AE27*SIN(AC27))*C27*A27</f>
        <v>6.8855286122682449E-2</v>
      </c>
      <c r="AP27" s="1">
        <f>8/空力安定性!$G$36/空力安定性!$G$47^2*A27^2*C27</f>
        <v>6.325581395348838E-2</v>
      </c>
      <c r="AR27" s="1">
        <f>Y27*プロパティ!D$13</f>
        <v>0.12764709960000001</v>
      </c>
      <c r="AS27" s="1">
        <f>V27*プロパティ!$D$13</f>
        <v>9.1282779470250389E-3</v>
      </c>
      <c r="AT27" s="1">
        <f>Z27*プロパティ!D$13</f>
        <v>8.6014508814000024E-2</v>
      </c>
      <c r="AU27" s="1">
        <f>SUM($AS28:AS$67)*(($A28+$A27)/2-$A27)+AU28</f>
        <v>8.8960498948094623E-3</v>
      </c>
      <c r="AV27" s="1">
        <f t="shared" si="3"/>
        <v>1.1130597163535283E-2</v>
      </c>
      <c r="AW27" s="1">
        <f t="shared" si="18"/>
        <v>4.7605196802629418E-3</v>
      </c>
      <c r="AX27" s="1">
        <f t="shared" si="19"/>
        <v>0.27275768596803468</v>
      </c>
      <c r="AY27" s="1">
        <f t="shared" si="20"/>
        <v>5.4285439801749641E-4</v>
      </c>
    </row>
    <row r="28" spans="1:51">
      <c r="A28" s="1">
        <v>0.105</v>
      </c>
      <c r="C28" s="1">
        <v>0.17</v>
      </c>
      <c r="E28" s="1">
        <f t="shared" si="4"/>
        <v>2.8900000000000006E-2</v>
      </c>
      <c r="F28" s="1">
        <f>$C$7*荷重解析!$D$1-C28*(荷重解析!$D$1-0.25)</f>
        <v>4.250000000000001E-2</v>
      </c>
      <c r="G28" s="1">
        <f t="shared" si="5"/>
        <v>7.2250000000000023E-3</v>
      </c>
      <c r="H28" s="1">
        <f t="shared" si="6"/>
        <v>10.150700000000001</v>
      </c>
      <c r="I28" s="1">
        <f t="shared" si="7"/>
        <v>7.7277532867500005</v>
      </c>
      <c r="J28" s="1">
        <f t="shared" si="8"/>
        <v>8.5000000000000006E-4</v>
      </c>
      <c r="K28" s="1">
        <f>C28*0.01*一般構造素材物性!$H$22*2</f>
        <v>3.5360000000000003E-2</v>
      </c>
      <c r="L28" s="1">
        <f>一般構造素材物性!$H$34*0.01*Lavender!H28/1000+一般構造素材物性!$H$20*0.005*0.01*2</f>
        <v>5.1579955555555557E-2</v>
      </c>
      <c r="M28" s="1">
        <f>一般構造素材物性!$H$19*0.01*0.015</f>
        <v>1.35E-2</v>
      </c>
      <c r="N28" s="1">
        <f t="shared" si="9"/>
        <v>1.35E-2</v>
      </c>
      <c r="O28" s="1">
        <f>IF(COUNTIF(Python読み込み用データ!$Q$4:$Q$13,Lavender!A28*1000),1,0)</f>
        <v>0</v>
      </c>
      <c r="P28" s="1">
        <f t="shared" si="10"/>
        <v>1.2561880099999998E-6</v>
      </c>
      <c r="Q28" s="1">
        <f t="shared" si="11"/>
        <v>3.6044646440000005E-7</v>
      </c>
      <c r="S28" s="1">
        <f>荷重解析!E24*0.01</f>
        <v>2.1161046499999999E-2</v>
      </c>
      <c r="T28" s="1">
        <f>(荷重解析!F24+荷重解析!F25)/2*0.01</f>
        <v>1.05054315E-3</v>
      </c>
      <c r="U28" s="1">
        <f>(荷重解析!G24+荷重解析!G25)/2*0.5*1.293*(荷重解析!C24^2+荷重解析!$B$1^2)*((C29+C28)/2)*0.01*COS(RADIANS(荷重解析!D24))</f>
        <v>4.87376247098695E-4</v>
      </c>
      <c r="V28" s="1">
        <f t="shared" si="12"/>
        <v>1.5379193970986951E-3</v>
      </c>
      <c r="W28" s="1">
        <f>(荷重解析!H24+荷重解析!H25)/2*0.5*1.293*(荷重解析!C24^2+荷重解析!$B$1^2)*((C29+C28)/2)^2*0.01</f>
        <v>-3.8399100398278305E-4</v>
      </c>
      <c r="Y28" s="1">
        <f>IF(A28=プロパティ!$D$3,S28-プロパティ!$D$8,S28)</f>
        <v>2.1161046499999999E-2</v>
      </c>
      <c r="Z28" s="1">
        <f>SUM(Y29:$Y$91)*(($A29+$A28)/2-$A28)+Z29</f>
        <v>1.3178233277000002E-2</v>
      </c>
      <c r="AA28" s="1">
        <f>AB28*H28/1000/2*一般構造素材物性!$M$7/1000</f>
        <v>7.7895514262070603E-5</v>
      </c>
      <c r="AB28" s="1">
        <f t="shared" si="1"/>
        <v>1.7053123706207585E-3</v>
      </c>
      <c r="AC28" s="1">
        <f t="shared" si="13"/>
        <v>0.24434609527920614</v>
      </c>
      <c r="AD28" s="1">
        <f t="shared" si="14"/>
        <v>14</v>
      </c>
      <c r="AE28" s="1">
        <f t="shared" si="17"/>
        <v>5.1312680008633295E-2</v>
      </c>
      <c r="AF28" s="1">
        <f t="shared" si="2"/>
        <v>51.312680008633293</v>
      </c>
      <c r="AG28" s="1">
        <f t="shared" si="15"/>
        <v>25.133239710099325</v>
      </c>
      <c r="AH28" s="68">
        <f>-2/空力安定性!$G$36*SIN(AC28)^2*C28</f>
        <v>-9.2553066111546151E-2</v>
      </c>
      <c r="AI28" s="1">
        <f t="shared" si="16"/>
        <v>-2.369408235030622E-2</v>
      </c>
      <c r="AJ28" s="1">
        <f>-2/空力安定性!$G$36/空力安定性!$G$47*A28*C28*SIN(AC28)</f>
        <v>-4.0170286850735523E-2</v>
      </c>
      <c r="AK28" s="1">
        <f>-4/空力安定性!$G$36/空力安定性!$G$47*A28*SIN(AC28)*COS(AC28)*C28</f>
        <v>-7.795411530909907E-2</v>
      </c>
      <c r="AL28" s="1">
        <f>-4/空力安定性!$G$36/空力安定性!$G$47^2*COS(AC28)*(A28*COS(AC28)+AE28*SIN(AC28))*C28</f>
        <v>-0.35075244674583594</v>
      </c>
      <c r="AM28" s="1">
        <f>-4/空力安定性!$G$36/空力安定性!$G$47^2*C28*COS(AC28)*A28^2</f>
        <v>-3.3833986325075088E-2</v>
      </c>
      <c r="AN28" s="1">
        <f>4/空力安定性!$G$36/空力安定性!$G$47*2*A28*C28*SIN(AC28)</f>
        <v>0.16068114740294209</v>
      </c>
      <c r="AO28" s="1">
        <f>4/空力安定性!$G$36/空力安定性!$G$47^2*2*(A28*COS(AC28)+AE28*SIN(AC28))*C28*A28</f>
        <v>7.5912952950257406E-2</v>
      </c>
      <c r="AP28" s="1">
        <f>8/空力安定性!$G$36/空力安定性!$G$47^2*A28^2*C28</f>
        <v>6.9739534883720908E-2</v>
      </c>
      <c r="AR28" s="1">
        <f>Y28*プロパティ!D$13</f>
        <v>0.12696627899999999</v>
      </c>
      <c r="AS28" s="1">
        <f>V28*プロパティ!$D$13</f>
        <v>9.2275163825921713E-3</v>
      </c>
      <c r="AT28" s="1">
        <f>Z28*プロパティ!D$13</f>
        <v>7.9069399662000009E-2</v>
      </c>
      <c r="AU28" s="1">
        <f>SUM($AS29:AS$67)*(($A29+$A28)/2-$A28)+AU29</f>
        <v>8.2560767676876784E-3</v>
      </c>
      <c r="AV28" s="1">
        <f t="shared" si="3"/>
        <v>1.0231874223724551E-2</v>
      </c>
      <c r="AW28" s="1">
        <f t="shared" si="18"/>
        <v>4.8718256518982947E-3</v>
      </c>
      <c r="AX28" s="1">
        <f t="shared" si="19"/>
        <v>0.27913504837734326</v>
      </c>
      <c r="AY28" s="1">
        <f t="shared" si="20"/>
        <v>5.9045959482012587E-4</v>
      </c>
    </row>
    <row r="29" spans="1:51">
      <c r="A29" s="1">
        <v>0.11</v>
      </c>
      <c r="C29" s="1">
        <v>0.17</v>
      </c>
      <c r="E29" s="1">
        <f t="shared" si="4"/>
        <v>2.8900000000000006E-2</v>
      </c>
      <c r="F29" s="1">
        <f>$C$7*荷重解析!$D$1-C29*(荷重解析!$D$1-0.25)</f>
        <v>4.250000000000001E-2</v>
      </c>
      <c r="G29" s="1">
        <f t="shared" si="5"/>
        <v>7.2250000000000023E-3</v>
      </c>
      <c r="H29" s="1">
        <f t="shared" si="6"/>
        <v>10.150700000000001</v>
      </c>
      <c r="I29" s="1">
        <f t="shared" si="7"/>
        <v>7.7277532867500005</v>
      </c>
      <c r="J29" s="1">
        <f t="shared" si="8"/>
        <v>8.5000000000000006E-4</v>
      </c>
      <c r="K29" s="1">
        <f>C29*0.01*一般構造素材物性!$H$22*2</f>
        <v>3.5360000000000003E-2</v>
      </c>
      <c r="L29" s="1">
        <f>一般構造素材物性!$H$34*0.01*Lavender!H29/1000+一般構造素材物性!$H$20*0.005*0.01*2</f>
        <v>5.1579955555555557E-2</v>
      </c>
      <c r="M29" s="1">
        <f>一般構造素材物性!$H$19*0.01*0.015</f>
        <v>1.35E-2</v>
      </c>
      <c r="N29" s="1">
        <f t="shared" si="9"/>
        <v>1.35E-2</v>
      </c>
      <c r="O29" s="1">
        <f>IF(COUNTIF(Python読み込み用データ!$Q$4:$Q$13,Lavender!A29*1000),1,0)</f>
        <v>0</v>
      </c>
      <c r="P29" s="1">
        <f t="shared" si="10"/>
        <v>1.3786734622222222E-6</v>
      </c>
      <c r="Q29" s="1">
        <f t="shared" si="11"/>
        <v>3.6044646440000005E-7</v>
      </c>
      <c r="S29" s="1">
        <f>荷重解析!E25*0.01</f>
        <v>2.1037046699999999E-2</v>
      </c>
      <c r="T29" s="1">
        <f>(荷重解析!F25+荷重解析!F26)/2*0.01</f>
        <v>1.0641469500000001E-3</v>
      </c>
      <c r="U29" s="1">
        <f>(荷重解析!G25+荷重解析!G26)/2*0.5*1.293*(荷重解析!C25^2+荷重解析!$B$1^2)*((C30+C29)/2)*0.01*COS(RADIANS(荷重解析!D25))</f>
        <v>4.9133593867854773E-4</v>
      </c>
      <c r="V29" s="1">
        <f t="shared" si="12"/>
        <v>1.5554828886785478E-3</v>
      </c>
      <c r="W29" s="1">
        <f>(荷重解析!H25+荷重解析!H26)/2*0.5*1.293*(荷重解析!C25^2+荷重解析!$B$1^2)*((C30+C29)/2)^2*0.01</f>
        <v>-3.847608521160291E-4</v>
      </c>
      <c r="Y29" s="1">
        <f>IF(A29=プロパティ!$D$3,S29-プロパティ!$D$8,S29)</f>
        <v>2.1037046699999999E-2</v>
      </c>
      <c r="Z29" s="1">
        <f>SUM(Y30:$Y$91)*(($A30+$A29)/2-$A29)+Z30</f>
        <v>1.2073617701250001E-2</v>
      </c>
      <c r="AA29" s="1">
        <f>AB29*H29/1000/2*一般構造素材物性!$M$7/1000</f>
        <v>7.1366217312599143E-5</v>
      </c>
      <c r="AB29" s="1">
        <f t="shared" si="1"/>
        <v>1.5623710091717622E-3</v>
      </c>
      <c r="AC29" s="1">
        <f t="shared" si="13"/>
        <v>0.24434609527920614</v>
      </c>
      <c r="AD29" s="1">
        <f t="shared" si="14"/>
        <v>14</v>
      </c>
      <c r="AE29" s="1">
        <f t="shared" si="17"/>
        <v>5.3756140961425357E-2</v>
      </c>
      <c r="AF29" s="1">
        <f t="shared" si="2"/>
        <v>53.756140961425359</v>
      </c>
      <c r="AG29" s="1">
        <f t="shared" si="15"/>
        <v>26.330060648675481</v>
      </c>
      <c r="AH29" s="68">
        <f>-2/空力安定性!$G$36*SIN(AC29)^2*C29</f>
        <v>-9.2553066111546151E-2</v>
      </c>
      <c r="AI29" s="1">
        <f t="shared" si="16"/>
        <v>-2.4822371986035086E-2</v>
      </c>
      <c r="AJ29" s="1">
        <f>-2/空力安定性!$G$36/空力安定性!$G$47*A29*C29*SIN(AC29)</f>
        <v>-4.2083157653151501E-2</v>
      </c>
      <c r="AK29" s="1">
        <f>-4/空力安定性!$G$36/空力安定性!$G$47*A29*SIN(AC29)*COS(AC29)*C29</f>
        <v>-8.1666216038103784E-2</v>
      </c>
      <c r="AL29" s="1">
        <f>-4/空力安定性!$G$36/空力安定性!$G$47^2*COS(AC29)*(A29*COS(AC29)+AE29*SIN(AC29))*C29</f>
        <v>-0.36745494420992336</v>
      </c>
      <c r="AM29" s="1">
        <f>-4/空力安定性!$G$36/空力安定性!$G$47^2*C29*COS(AC29)*A29^2</f>
        <v>-3.7132991794413484E-2</v>
      </c>
      <c r="AN29" s="1">
        <f>4/空力安定性!$G$36/空力安定性!$G$47*2*A29*C29*SIN(AC29)</f>
        <v>0.168332630612606</v>
      </c>
      <c r="AO29" s="1">
        <f>4/空力安定性!$G$36/空力安定性!$G$47^2*2*(A29*COS(AC29)+AE29*SIN(AC29))*C29*A29</f>
        <v>8.3314896208445746E-2</v>
      </c>
      <c r="AP29" s="1">
        <f>8/空力安定性!$G$36/空力安定性!$G$47^2*A29^2*C29</f>
        <v>7.6539534883720922E-2</v>
      </c>
      <c r="AR29" s="1">
        <f>Y29*プロパティ!D$13</f>
        <v>0.12622228019999998</v>
      </c>
      <c r="AS29" s="1">
        <f>V29*プロパティ!$D$13</f>
        <v>9.3328973320712869E-3</v>
      </c>
      <c r="AT29" s="1">
        <f>Z29*プロパティ!D$13</f>
        <v>7.2441706207500012E-2</v>
      </c>
      <c r="AU29" s="1">
        <f>SUM($AS30:AS$67)*(($A30+$A29)/2-$A29)+AU30</f>
        <v>7.6391724315223748E-3</v>
      </c>
      <c r="AV29" s="1">
        <f t="shared" si="3"/>
        <v>9.374226055030575E-3</v>
      </c>
      <c r="AW29" s="1">
        <f t="shared" si="18"/>
        <v>4.97414439413554E-3</v>
      </c>
      <c r="AX29" s="1">
        <f t="shared" si="19"/>
        <v>0.28499748047262435</v>
      </c>
      <c r="AY29" s="1">
        <f t="shared" si="20"/>
        <v>6.391778513391088E-4</v>
      </c>
    </row>
    <row r="30" spans="1:51">
      <c r="A30" s="1">
        <v>0.115</v>
      </c>
      <c r="C30" s="1">
        <v>0.17</v>
      </c>
      <c r="E30" s="1">
        <f t="shared" si="4"/>
        <v>2.8900000000000006E-2</v>
      </c>
      <c r="F30" s="1">
        <f>$C$7*荷重解析!$D$1-C30*(荷重解析!$D$1-0.25)</f>
        <v>4.250000000000001E-2</v>
      </c>
      <c r="G30" s="1">
        <f t="shared" si="5"/>
        <v>7.2250000000000023E-3</v>
      </c>
      <c r="H30" s="1">
        <f t="shared" si="6"/>
        <v>10.150700000000001</v>
      </c>
      <c r="I30" s="1">
        <f t="shared" si="7"/>
        <v>7.7277532867500005</v>
      </c>
      <c r="J30" s="1">
        <f t="shared" si="8"/>
        <v>8.5000000000000006E-4</v>
      </c>
      <c r="K30" s="1">
        <f>C30*0.01*一般構造素材物性!$H$22*2</f>
        <v>3.5360000000000003E-2</v>
      </c>
      <c r="L30" s="1">
        <f>一般構造素材物性!$H$34*0.01*Lavender!H30/1000+一般構造素材物性!$H$20*0.005*0.01*2</f>
        <v>5.1579955555555557E-2</v>
      </c>
      <c r="M30" s="1">
        <f>一般構造素材物性!$H$19*0.01*0.015</f>
        <v>1.35E-2</v>
      </c>
      <c r="N30" s="1">
        <f t="shared" si="9"/>
        <v>1.35E-2</v>
      </c>
      <c r="O30" s="1">
        <f>IF(COUNTIF(Python読み込み用データ!$Q$4:$Q$13,Lavender!A30*1000),1,0)</f>
        <v>0</v>
      </c>
      <c r="P30" s="1">
        <f t="shared" si="10"/>
        <v>1.5068559122222224E-6</v>
      </c>
      <c r="Q30" s="1">
        <f t="shared" si="11"/>
        <v>3.6044646440000005E-7</v>
      </c>
      <c r="S30" s="1">
        <f>荷重解析!E26*0.01</f>
        <v>2.0900947200000002E-2</v>
      </c>
      <c r="T30" s="1">
        <f>(荷重解析!F26+荷重解析!F27)/2*0.01</f>
        <v>1.0788334499999999E-3</v>
      </c>
      <c r="U30" s="1">
        <f>(荷重解析!G26+荷重解析!G27)/2*0.5*1.293*(荷重解析!C26^2+荷重解析!$B$1^2)*((C31+C30)/2)*0.01*COS(RADIANS(荷重解析!D26))</f>
        <v>4.9561875405351144E-4</v>
      </c>
      <c r="V30" s="1">
        <f t="shared" si="12"/>
        <v>1.5744522040535113E-3</v>
      </c>
      <c r="W30" s="1">
        <f>(荷重解析!H26+荷重解析!H27)/2*0.5*1.293*(荷重解析!C26^2+荷重解析!$B$1^2)*((C31+C30)/2)^2*0.01</f>
        <v>-3.8514141999367258E-4</v>
      </c>
      <c r="Y30" s="1">
        <f>IF(A30=プロパティ!$D$3,S30-プロパティ!$D$8,S30)</f>
        <v>2.0900947200000002E-2</v>
      </c>
      <c r="Z30" s="1">
        <f>SUM(Y31:$Y$91)*(($A31+$A30)/2-$A30)+Z31</f>
        <v>1.102159474225E-2</v>
      </c>
      <c r="AA30" s="1">
        <f>AB30*H30/1000/2*一般構造素材物性!$M$7/1000</f>
        <v>6.5147791239520428E-5</v>
      </c>
      <c r="AB30" s="1">
        <f t="shared" si="1"/>
        <v>1.426235327821298E-3</v>
      </c>
      <c r="AC30" s="1">
        <f t="shared" si="13"/>
        <v>0.24434609527920614</v>
      </c>
      <c r="AD30" s="1">
        <f t="shared" si="14"/>
        <v>14</v>
      </c>
      <c r="AE30" s="1">
        <f t="shared" si="17"/>
        <v>5.6199601914217419E-2</v>
      </c>
      <c r="AF30" s="1">
        <f t="shared" si="2"/>
        <v>56.199601914217418</v>
      </c>
      <c r="AG30" s="1">
        <f t="shared" si="15"/>
        <v>27.526881587251637</v>
      </c>
      <c r="AH30" s="68">
        <f>-2/空力安定性!$G$36*SIN(AC30)^2*C30</f>
        <v>-9.2553066111546151E-2</v>
      </c>
      <c r="AI30" s="1">
        <f t="shared" si="16"/>
        <v>-2.5950661621763956E-2</v>
      </c>
      <c r="AJ30" s="1">
        <f>-2/空力安定性!$G$36/空力安定性!$G$47*A30*C30*SIN(AC30)</f>
        <v>-4.3996028455567479E-2</v>
      </c>
      <c r="AK30" s="1">
        <f>-4/空力安定性!$G$36/空力安定性!$G$47*A30*SIN(AC30)*COS(AC30)*C30</f>
        <v>-8.5378316767108525E-2</v>
      </c>
      <c r="AL30" s="1">
        <f>-4/空力安定性!$G$36/空力安定性!$G$47^2*COS(AC30)*(A30*COS(AC30)+AE30*SIN(AC30))*C30</f>
        <v>-0.38415744167401084</v>
      </c>
      <c r="AM30" s="1">
        <f>-4/空力安定性!$G$36/空力安定性!$G$47^2*C30*COS(AC30)*A30^2</f>
        <v>-4.0585439378604822E-2</v>
      </c>
      <c r="AN30" s="1">
        <f>4/空力安定性!$G$36/空力安定性!$G$47*2*A30*C30*SIN(AC30)</f>
        <v>0.17598411382226992</v>
      </c>
      <c r="AO30" s="1">
        <f>4/空力安定性!$G$36/空力安定性!$G$47^2*2*(A30*COS(AC30)+AE30*SIN(AC30))*C30*A30</f>
        <v>9.1061115897247524E-2</v>
      </c>
      <c r="AP30" s="1">
        <f>8/空力安定性!$G$36/空力安定性!$G$47^2*A30^2*C30</f>
        <v>8.3655813953488367E-2</v>
      </c>
      <c r="AR30" s="1">
        <f>Y30*プロパティ!D$13</f>
        <v>0.12540568320000001</v>
      </c>
      <c r="AS30" s="1">
        <f>V30*プロパティ!$D$13</f>
        <v>9.4467132243210676E-3</v>
      </c>
      <c r="AT30" s="1">
        <f>Z30*プロパティ!D$13</f>
        <v>6.6129568453500001E-2</v>
      </c>
      <c r="AU30" s="1">
        <f>SUM($AS31:AS$67)*(($A31+$A30)/2-$A30)+AU31</f>
        <v>7.0456003386872483E-3</v>
      </c>
      <c r="AV30" s="1">
        <f t="shared" si="3"/>
        <v>8.5574119669277887E-3</v>
      </c>
      <c r="AW30" s="1">
        <f t="shared" si="18"/>
        <v>5.0678866546858461E-3</v>
      </c>
      <c r="AX30" s="1">
        <f t="shared" si="19"/>
        <v>0.2903685163641726</v>
      </c>
      <c r="AY30" s="1">
        <f t="shared" si="20"/>
        <v>6.8891929528046422E-4</v>
      </c>
    </row>
    <row r="31" spans="1:51">
      <c r="A31" s="1">
        <v>0.12</v>
      </c>
      <c r="C31" s="1">
        <v>0.17</v>
      </c>
      <c r="E31" s="1">
        <f t="shared" si="4"/>
        <v>2.8900000000000006E-2</v>
      </c>
      <c r="F31" s="1">
        <f>$C$7*荷重解析!$D$1-C31*(荷重解析!$D$1-0.25)</f>
        <v>4.250000000000001E-2</v>
      </c>
      <c r="G31" s="1">
        <f t="shared" si="5"/>
        <v>7.2250000000000023E-3</v>
      </c>
      <c r="H31" s="1">
        <f t="shared" si="6"/>
        <v>10.150700000000001</v>
      </c>
      <c r="I31" s="1">
        <f t="shared" si="7"/>
        <v>7.7277532867500005</v>
      </c>
      <c r="J31" s="1">
        <f t="shared" si="8"/>
        <v>8.5000000000000006E-4</v>
      </c>
      <c r="K31" s="1">
        <f>C31*0.01*一般構造素材物性!$H$22*2</f>
        <v>3.5360000000000003E-2</v>
      </c>
      <c r="L31" s="1">
        <f>一般構造素材物性!$H$34*0.01*Lavender!H31/1000+一般構造素材物性!$H$20*0.005*0.01*2</f>
        <v>5.1579955555555557E-2</v>
      </c>
      <c r="M31" s="1">
        <f>一般構造素材物性!$H$19*0.01*0.015</f>
        <v>1.35E-2</v>
      </c>
      <c r="N31" s="1">
        <f t="shared" si="9"/>
        <v>1.35E-2</v>
      </c>
      <c r="O31" s="1">
        <f>IF(COUNTIF(Python読み込み用データ!$Q$4:$Q$13,Lavender!A31*1000),1,0)</f>
        <v>0</v>
      </c>
      <c r="P31" s="1">
        <f t="shared" si="10"/>
        <v>1.64073536E-6</v>
      </c>
      <c r="Q31" s="1">
        <f t="shared" si="11"/>
        <v>3.6044646440000005E-7</v>
      </c>
      <c r="S31" s="1">
        <f>荷重解析!E27*0.01</f>
        <v>2.0750709399999998E-2</v>
      </c>
      <c r="T31" s="1">
        <f>(荷重解析!F27+荷重解析!F28)/2*0.01</f>
        <v>1.0942231999999999E-3</v>
      </c>
      <c r="U31" s="1">
        <f>(荷重解析!G27+荷重解析!G28)/2*0.5*1.293*(荷重解析!C27^2+荷重解析!$B$1^2)*((C32+C31)/2)*0.01*COS(RADIANS(荷重解析!D27))</f>
        <v>5.0037229479568473E-4</v>
      </c>
      <c r="V31" s="1">
        <f t="shared" si="12"/>
        <v>1.5945954947956848E-3</v>
      </c>
      <c r="W31" s="1">
        <f>(荷重解析!H27+荷重解析!H28)/2*0.5*1.293*(荷重解析!C27^2+荷重解析!$B$1^2)*((C32+C31)/2)^2*0.01</f>
        <v>-3.8513935732808704E-4</v>
      </c>
      <c r="Y31" s="1">
        <f>IF(A31=プロパティ!$D$3,S31-プロパティ!$D$8,S31)</f>
        <v>2.0750709399999998E-2</v>
      </c>
      <c r="Z31" s="1">
        <f>SUM(Y32:$Y$91)*(($A32+$A31)/2-$A31)+Z32</f>
        <v>1.0021824151250004E-2</v>
      </c>
      <c r="AA31" s="1">
        <f>AB31*H31/1000/2*一般構造素材物性!$M$7/1000</f>
        <v>5.9238224858876755E-5</v>
      </c>
      <c r="AB31" s="1">
        <f t="shared" si="1"/>
        <v>1.2968612971163839E-3</v>
      </c>
      <c r="AC31" s="1">
        <f t="shared" si="13"/>
        <v>0.24434609527920614</v>
      </c>
      <c r="AD31" s="1">
        <f t="shared" si="14"/>
        <v>14</v>
      </c>
      <c r="AE31" s="1">
        <f t="shared" si="17"/>
        <v>5.8643062867009481E-2</v>
      </c>
      <c r="AF31" s="1">
        <f t="shared" si="2"/>
        <v>58.643062867009483</v>
      </c>
      <c r="AG31" s="1">
        <f t="shared" si="15"/>
        <v>28.7237025258278</v>
      </c>
      <c r="AH31" s="68">
        <f>-2/空力安定性!$G$36*SIN(AC31)^2*C31</f>
        <v>-9.2553066111546151E-2</v>
      </c>
      <c r="AI31" s="1">
        <f t="shared" si="16"/>
        <v>-2.7078951257492823E-2</v>
      </c>
      <c r="AJ31" s="1">
        <f>-2/空力安定性!$G$36/空力安定性!$G$47*A31*C31*SIN(AC31)</f>
        <v>-4.590889925798345E-2</v>
      </c>
      <c r="AK31" s="1">
        <f>-4/空力安定性!$G$36/空力安定性!$G$47*A31*SIN(AC31)*COS(AC31)*C31</f>
        <v>-8.9090417496113211E-2</v>
      </c>
      <c r="AL31" s="1">
        <f>-4/空力安定性!$G$36/空力安定性!$G$47^2*COS(AC31)*(A31*COS(AC31)+AE31*SIN(AC31))*C31</f>
        <v>-0.4008599391380982</v>
      </c>
      <c r="AM31" s="1">
        <f>-4/空力安定性!$G$36/空力安定性!$G$47^2*C31*COS(AC31)*A31^2</f>
        <v>-4.4191329077649104E-2</v>
      </c>
      <c r="AN31" s="1">
        <f>4/空力安定性!$G$36/空力安定性!$G$47*2*A31*C31*SIN(AC31)</f>
        <v>0.1836355970319338</v>
      </c>
      <c r="AO31" s="1">
        <f>4/空力安定性!$G$36/空力安定性!$G$47^2*2*(A31*COS(AC31)+AE31*SIN(AC31))*C31*A31</f>
        <v>9.9151612016662699E-2</v>
      </c>
      <c r="AP31" s="1">
        <f>8/空力安定性!$G$36/空力安定性!$G$47^2*A31^2*C31</f>
        <v>9.1088372093023257E-2</v>
      </c>
      <c r="AR31" s="1">
        <f>Y31*プロパティ!D$13</f>
        <v>0.12450425639999999</v>
      </c>
      <c r="AS31" s="1">
        <f>V31*プロパティ!$D$13</f>
        <v>9.5675729687741094E-3</v>
      </c>
      <c r="AT31" s="1">
        <f>Z31*プロパティ!D$13</f>
        <v>6.0130944907500025E-2</v>
      </c>
      <c r="AU31" s="1">
        <f>SUM($AS32:AS$67)*(($A32+$A31)/2-$A31)+AU32</f>
        <v>6.475645028912928E-3</v>
      </c>
      <c r="AV31" s="1">
        <f t="shared" si="3"/>
        <v>7.7811677826983032E-3</v>
      </c>
      <c r="AW31" s="1">
        <f t="shared" si="18"/>
        <v>5.1534607743551238E-3</v>
      </c>
      <c r="AX31" s="1">
        <f t="shared" si="19"/>
        <v>0.29527155225676965</v>
      </c>
      <c r="AY31" s="1">
        <f t="shared" si="20"/>
        <v>7.3959816182732265E-4</v>
      </c>
    </row>
    <row r="32" spans="1:51">
      <c r="A32" s="1">
        <v>0.125</v>
      </c>
      <c r="C32" s="1">
        <v>0.17</v>
      </c>
      <c r="E32" s="1">
        <f t="shared" si="4"/>
        <v>2.8900000000000006E-2</v>
      </c>
      <c r="F32" s="1">
        <f>$C$7*荷重解析!$D$1-C32*(荷重解析!$D$1-0.25)</f>
        <v>4.250000000000001E-2</v>
      </c>
      <c r="G32" s="1">
        <f t="shared" si="5"/>
        <v>7.2250000000000023E-3</v>
      </c>
      <c r="H32" s="1">
        <f t="shared" si="6"/>
        <v>10.150700000000001</v>
      </c>
      <c r="I32" s="1">
        <f t="shared" si="7"/>
        <v>7.7277532867500005</v>
      </c>
      <c r="J32" s="1">
        <f t="shared" si="8"/>
        <v>8.5000000000000006E-4</v>
      </c>
      <c r="K32" s="1">
        <f>C32*0.01*一般構造素材物性!$H$22*2</f>
        <v>3.5360000000000003E-2</v>
      </c>
      <c r="L32" s="1">
        <f>一般構造素材物性!$H$34*0.01*Lavender!H32/1000+一般構造素材物性!$H$20*0.005*0.01*2</f>
        <v>5.1579955555555557E-2</v>
      </c>
      <c r="M32" s="1">
        <f>一般構造素材物性!$H$19*0.01*0.015</f>
        <v>1.35E-2</v>
      </c>
      <c r="N32" s="1">
        <f t="shared" si="9"/>
        <v>1.35E-2</v>
      </c>
      <c r="O32" s="1">
        <f>IF(COUNTIF(Python読み込み用データ!$Q$4:$Q$13,Lavender!A32*1000),1,0)</f>
        <v>0</v>
      </c>
      <c r="P32" s="1">
        <f t="shared" si="10"/>
        <v>1.7803118055555556E-6</v>
      </c>
      <c r="Q32" s="1">
        <f t="shared" si="11"/>
        <v>3.6044646440000005E-7</v>
      </c>
      <c r="S32" s="1">
        <f>荷重解析!E28*0.01</f>
        <v>2.0582232799999999E-2</v>
      </c>
      <c r="T32" s="1">
        <f>(荷重解析!F28+荷重解析!F29)/2*0.01</f>
        <v>1.0940271000000001E-3</v>
      </c>
      <c r="U32" s="1">
        <f>(荷重解析!G28+荷重解析!G29)/2*0.5*1.293*(荷重解析!C28^2+荷重解析!$B$1^2)*((C33+C32)/2)*0.01*COS(RADIANS(荷重解析!D28))</f>
        <v>5.0460666118047625E-4</v>
      </c>
      <c r="V32" s="1">
        <f t="shared" si="12"/>
        <v>1.5986337611804762E-3</v>
      </c>
      <c r="W32" s="1">
        <f>(荷重解析!H28+荷重解析!H29)/2*0.5*1.293*(荷重解析!C28^2+荷重解析!$B$1^2)*((C33+C32)/2)^2*0.01</f>
        <v>-3.8532561421589646E-4</v>
      </c>
      <c r="Y32" s="1">
        <f>IF(A32=プロパティ!$D$3,S32-プロパティ!$D$8,S32)</f>
        <v>2.0582232799999999E-2</v>
      </c>
      <c r="Z32" s="1">
        <f>SUM(Y33:$Y$91)*(($A33+$A32)/2-$A32)+Z33</f>
        <v>9.0739303337500025E-3</v>
      </c>
      <c r="AA32" s="1">
        <f>AB32*H32/1000/2*一般構造素材物性!$M$7/1000</f>
        <v>5.3635298060724889E-5</v>
      </c>
      <c r="AB32" s="1">
        <f t="shared" si="1"/>
        <v>1.1742003137326026E-3</v>
      </c>
      <c r="AC32" s="1">
        <f t="shared" si="13"/>
        <v>0.24434609527920614</v>
      </c>
      <c r="AD32" s="1">
        <f t="shared" si="14"/>
        <v>14</v>
      </c>
      <c r="AE32" s="1">
        <f t="shared" si="17"/>
        <v>6.1086523819801543E-2</v>
      </c>
      <c r="AF32" s="1">
        <f t="shared" si="2"/>
        <v>61.086523819801542</v>
      </c>
      <c r="AG32" s="1">
        <f t="shared" si="15"/>
        <v>29.920523464403956</v>
      </c>
      <c r="AH32" s="68">
        <f>-2/空力安定性!$G$36*SIN(AC32)^2*C32</f>
        <v>-9.2553066111546151E-2</v>
      </c>
      <c r="AI32" s="1">
        <f t="shared" si="16"/>
        <v>-2.8207240893221689E-2</v>
      </c>
      <c r="AJ32" s="1">
        <f>-2/空力安定性!$G$36/空力安定性!$G$47*A32*C32*SIN(AC32)</f>
        <v>-4.7821770060399435E-2</v>
      </c>
      <c r="AK32" s="1">
        <f>-4/空力安定性!$G$36/空力安定性!$G$47*A32*SIN(AC32)*COS(AC32)*C32</f>
        <v>-9.2802518225117939E-2</v>
      </c>
      <c r="AL32" s="1">
        <f>-4/空力安定性!$G$36/空力安定性!$G$47^2*COS(AC32)*(A32*COS(AC32)+AE32*SIN(AC32))*C32</f>
        <v>-0.41756243660218562</v>
      </c>
      <c r="AM32" s="1">
        <f>-4/空力安定性!$G$36/空力安定性!$G$47^2*C32*COS(AC32)*A32^2</f>
        <v>-4.7950660891546336E-2</v>
      </c>
      <c r="AN32" s="1">
        <f>4/空力安定性!$G$36/空力安定性!$G$47*2*A32*C32*SIN(AC32)</f>
        <v>0.19128708024159774</v>
      </c>
      <c r="AO32" s="1">
        <f>4/空力安定性!$G$36/空力安定性!$G$47^2*2*(A32*COS(AC32)+AE32*SIN(AC32))*C32*A32</f>
        <v>0.10758638456669131</v>
      </c>
      <c r="AP32" s="1">
        <f>8/空力安定性!$G$36/空力安定性!$G$47^2*A32^2*C32</f>
        <v>9.8837209302325577E-2</v>
      </c>
      <c r="AR32" s="1">
        <f>Y32*プロパティ!D$13</f>
        <v>0.12349339679999999</v>
      </c>
      <c r="AS32" s="1">
        <f>V32*プロパティ!$D$13</f>
        <v>9.5918025670828563E-3</v>
      </c>
      <c r="AT32" s="1">
        <f>Z32*プロパティ!D$13</f>
        <v>5.4443582002500018E-2</v>
      </c>
      <c r="AU32" s="1">
        <f>SUM($AS33:AS$67)*(($A33+$A32)/2-$A32)+AU33</f>
        <v>5.9296086515605402E-3</v>
      </c>
      <c r="AV32" s="1">
        <f t="shared" si="3"/>
        <v>7.0452018823956167E-3</v>
      </c>
      <c r="AW32" s="1">
        <f t="shared" si="18"/>
        <v>5.2312724521821072E-3</v>
      </c>
      <c r="AX32" s="1">
        <f t="shared" si="19"/>
        <v>0.29972983299308753</v>
      </c>
      <c r="AY32" s="1">
        <f t="shared" si="20"/>
        <v>7.9113276957087388E-4</v>
      </c>
    </row>
    <row r="33" spans="1:51">
      <c r="A33" s="1">
        <v>0.13</v>
      </c>
      <c r="C33" s="1">
        <v>0.17</v>
      </c>
      <c r="E33" s="1">
        <f t="shared" si="4"/>
        <v>2.8900000000000006E-2</v>
      </c>
      <c r="F33" s="1">
        <f>$C$7*荷重解析!$D$1-C33*(荷重解析!$D$1-0.25)</f>
        <v>4.250000000000001E-2</v>
      </c>
      <c r="G33" s="1">
        <f t="shared" si="5"/>
        <v>7.2250000000000023E-3</v>
      </c>
      <c r="H33" s="1">
        <f t="shared" si="6"/>
        <v>10.150700000000001</v>
      </c>
      <c r="I33" s="1">
        <f t="shared" si="7"/>
        <v>7.7277532867500005</v>
      </c>
      <c r="J33" s="1">
        <f t="shared" si="8"/>
        <v>8.5000000000000006E-4</v>
      </c>
      <c r="K33" s="1">
        <f>C33*0.01*一般構造素材物性!$H$22*2</f>
        <v>3.5360000000000003E-2</v>
      </c>
      <c r="L33" s="1">
        <f>一般構造素材物性!$H$34*0.01*Lavender!H33/1000+一般構造素材物性!$H$20*0.005*0.01*2</f>
        <v>5.1579955555555557E-2</v>
      </c>
      <c r="M33" s="1">
        <f>一般構造素材物性!$H$19*0.01*0.015</f>
        <v>1.35E-2</v>
      </c>
      <c r="N33" s="1">
        <f t="shared" si="9"/>
        <v>1.35E-2</v>
      </c>
      <c r="O33" s="1">
        <f>IF(COUNTIF(Python読み込み用データ!$Q$4:$Q$13,Lavender!A33*1000),1,0)</f>
        <v>0</v>
      </c>
      <c r="P33" s="1">
        <f t="shared" si="10"/>
        <v>1.9255852488888892E-6</v>
      </c>
      <c r="Q33" s="1">
        <f t="shared" si="11"/>
        <v>3.6044646440000005E-7</v>
      </c>
      <c r="S33" s="1">
        <f>荷重解析!E29*0.01</f>
        <v>2.0388248899999999E-2</v>
      </c>
      <c r="T33" s="1">
        <f>(荷重解析!F29+荷重解析!F30)/2*0.01</f>
        <v>1.0769468000000001E-3</v>
      </c>
      <c r="U33" s="1">
        <f>(荷重解析!G29+荷重解析!G30)/2*0.5*1.293*(荷重解析!C29^2+荷重解析!$B$1^2)*((C34+C33)/2)*0.01*COS(RADIANS(荷重解析!D29))</f>
        <v>5.0798513284951218E-4</v>
      </c>
      <c r="V33" s="1">
        <f t="shared" si="12"/>
        <v>1.5849319328495124E-3</v>
      </c>
      <c r="W33" s="1">
        <f>(荷重解析!H29+荷重解析!H30)/2*0.5*1.293*(荷重解析!C29^2+荷重解析!$B$1^2)*((C34+C33)/2)^2*0.01</f>
        <v>-3.8566285987674261E-4</v>
      </c>
      <c r="Y33" s="1">
        <f>IF(A33=プロパティ!$D$3,S33-プロパティ!$D$8,S33)</f>
        <v>2.0388248899999999E-2</v>
      </c>
      <c r="Z33" s="1">
        <f>SUM(Y34:$Y$91)*(($A34+$A33)/2-$A33)+Z34</f>
        <v>8.1774920982500016E-3</v>
      </c>
      <c r="AA33" s="1">
        <f>AB33*H33/1000/2*一般構造素材物性!$M$7/1000</f>
        <v>4.8336521214793072E-5</v>
      </c>
      <c r="AB33" s="1">
        <f t="shared" si="1"/>
        <v>1.0581978739242521E-3</v>
      </c>
      <c r="AC33" s="1">
        <f t="shared" si="13"/>
        <v>0.24434609527920614</v>
      </c>
      <c r="AD33" s="1">
        <f t="shared" si="14"/>
        <v>14</v>
      </c>
      <c r="AE33" s="1">
        <f t="shared" si="17"/>
        <v>6.3529984772593598E-2</v>
      </c>
      <c r="AF33" s="1">
        <f t="shared" si="2"/>
        <v>63.5299847725936</v>
      </c>
      <c r="AG33" s="1">
        <f t="shared" si="15"/>
        <v>31.117344402980109</v>
      </c>
      <c r="AH33" s="68">
        <f>-2/空力安定性!$G$36*SIN(AC33)^2*C33</f>
        <v>-9.2553066111546151E-2</v>
      </c>
      <c r="AI33" s="1">
        <f t="shared" si="16"/>
        <v>-2.9335530528950556E-2</v>
      </c>
      <c r="AJ33" s="1">
        <f>-2/空力安定性!$G$36/空力安定性!$G$47*A33*C33*SIN(AC33)</f>
        <v>-4.9734640862815413E-2</v>
      </c>
      <c r="AK33" s="1">
        <f>-4/空力安定性!$G$36/空力安定性!$G$47*A33*SIN(AC33)*COS(AC33)*C33</f>
        <v>-9.6514618954122666E-2</v>
      </c>
      <c r="AL33" s="1">
        <f>-4/空力安定性!$G$36/空力安定性!$G$47^2*COS(AC33)*(A33*COS(AC33)+AE33*SIN(AC33))*C33</f>
        <v>-0.43426493406627309</v>
      </c>
      <c r="AM33" s="1">
        <f>-4/空力安定性!$G$36/空力安定性!$G$47^2*C33*COS(AC33)*A33^2</f>
        <v>-5.1863434820296525E-2</v>
      </c>
      <c r="AN33" s="1">
        <f>4/空力安定性!$G$36/空力安定性!$G$47*2*A33*C33*SIN(AC33)</f>
        <v>0.19893856345126165</v>
      </c>
      <c r="AO33" s="1">
        <f>4/空力安定性!$G$36/空力安定性!$G$47^2*2*(A33*COS(AC33)+AE33*SIN(AC33))*C33*A33</f>
        <v>0.11636543354733334</v>
      </c>
      <c r="AP33" s="1">
        <f>8/空力安定性!$G$36/空力安定性!$G$47^2*A33^2*C33</f>
        <v>0.10690232558139535</v>
      </c>
      <c r="AR33" s="1">
        <f>Y33*プロパティ!D$13</f>
        <v>0.12232949339999999</v>
      </c>
      <c r="AS33" s="1">
        <f>V33*プロパティ!$D$13</f>
        <v>9.5095915970970744E-3</v>
      </c>
      <c r="AT33" s="1">
        <f>Z33*プロパティ!D$13</f>
        <v>4.9064952589500013E-2</v>
      </c>
      <c r="AU33" s="1">
        <f>SUM($AS34:AS$67)*(($A34+$A33)/2-$A33)+AU34</f>
        <v>5.4075517806258591E-3</v>
      </c>
      <c r="AV33" s="1">
        <f t="shared" si="3"/>
        <v>6.3491872435455128E-3</v>
      </c>
      <c r="AW33" s="1">
        <f t="shared" si="18"/>
        <v>5.301724471006063E-3</v>
      </c>
      <c r="AX33" s="1">
        <f t="shared" si="19"/>
        <v>0.30376643632987638</v>
      </c>
      <c r="AY33" s="1">
        <f t="shared" si="20"/>
        <v>8.4344549409269499E-4</v>
      </c>
    </row>
    <row r="34" spans="1:51">
      <c r="A34" s="1">
        <v>0.13500000000000001</v>
      </c>
      <c r="C34" s="1">
        <v>0.17</v>
      </c>
      <c r="E34" s="1">
        <f t="shared" si="4"/>
        <v>2.8900000000000006E-2</v>
      </c>
      <c r="F34" s="1">
        <f>$C$7*荷重解析!$D$1-C34*(荷重解析!$D$1-0.25)</f>
        <v>4.250000000000001E-2</v>
      </c>
      <c r="G34" s="1">
        <f t="shared" si="5"/>
        <v>7.2250000000000023E-3</v>
      </c>
      <c r="H34" s="1">
        <f t="shared" si="6"/>
        <v>10.150700000000001</v>
      </c>
      <c r="I34" s="1">
        <f t="shared" si="7"/>
        <v>7.7277532867500005</v>
      </c>
      <c r="J34" s="1">
        <f t="shared" si="8"/>
        <v>8.5000000000000006E-4</v>
      </c>
      <c r="K34" s="1">
        <f>C34*0.01*一般構造素材物性!$H$22*2</f>
        <v>3.5360000000000003E-2</v>
      </c>
      <c r="L34" s="1">
        <f>一般構造素材物性!$H$34*0.01*Lavender!H34/1000+一般構造素材物性!$H$20*0.005*0.01*2</f>
        <v>5.1579955555555557E-2</v>
      </c>
      <c r="M34" s="1">
        <f>一般構造素材物性!$H$19*0.01*0.015</f>
        <v>1.35E-2</v>
      </c>
      <c r="N34" s="1">
        <f t="shared" si="9"/>
        <v>1.35E-2</v>
      </c>
      <c r="O34" s="1">
        <f>IF(COUNTIF(Python読み込み用データ!$Q$4:$Q$13,Lavender!A34*1000),1,0)</f>
        <v>0</v>
      </c>
      <c r="P34" s="1">
        <f t="shared" si="10"/>
        <v>2.0765556900000001E-6</v>
      </c>
      <c r="Q34" s="1">
        <f t="shared" si="11"/>
        <v>3.6044646440000005E-7</v>
      </c>
      <c r="S34" s="1">
        <f>荷重解析!E30*0.01</f>
        <v>2.0174295400000004E-2</v>
      </c>
      <c r="T34" s="1">
        <f>(荷重解析!F30+荷重解析!F31)/2*0.01</f>
        <v>1.05944105E-3</v>
      </c>
      <c r="U34" s="1">
        <f>(荷重解析!G30+荷重解析!G31)/2*0.5*1.293*(荷重解析!C30^2+荷重解析!$B$1^2)*((C35+C34)/2)*0.01*COS(RADIANS(荷重解析!D30))</f>
        <v>5.1154982015056067E-4</v>
      </c>
      <c r="V34" s="1">
        <f t="shared" si="12"/>
        <v>1.5709908701505605E-3</v>
      </c>
      <c r="W34" s="1">
        <f>(荷重解析!H30+荷重解析!H31)/2*0.5*1.293*(荷重解析!C30^2+荷重解析!$B$1^2)*((C35+C34)/2)^2*0.01</f>
        <v>-3.8597932780594813E-4</v>
      </c>
      <c r="Y34" s="1">
        <f>IF(A34=プロパティ!$D$3,S34-プロパティ!$D$8,S34)</f>
        <v>2.0174295400000004E-2</v>
      </c>
      <c r="Z34" s="1">
        <f>SUM(Y35:$Y$91)*(($A35+$A34)/2-$A34)+Z35</f>
        <v>7.3320244850000006E-3</v>
      </c>
      <c r="AA34" s="1">
        <f>AB34*H34/1000/2*一般構造素材物性!$M$7/1000</f>
        <v>4.3339027761632206E-5</v>
      </c>
      <c r="AB34" s="1">
        <f t="shared" si="1"/>
        <v>9.4879122209704642E-4</v>
      </c>
      <c r="AC34" s="1">
        <f t="shared" si="13"/>
        <v>0.24434609527920614</v>
      </c>
      <c r="AD34" s="1">
        <f t="shared" si="14"/>
        <v>14</v>
      </c>
      <c r="AE34" s="1">
        <f t="shared" si="17"/>
        <v>6.597344572538566E-2</v>
      </c>
      <c r="AF34" s="1">
        <f t="shared" si="2"/>
        <v>65.973445725385659</v>
      </c>
      <c r="AG34" s="1">
        <f t="shared" si="15"/>
        <v>32.314165341556269</v>
      </c>
      <c r="AH34" s="68">
        <f>-2/空力安定性!$G$36*SIN(AC34)^2*C34</f>
        <v>-9.2553066111546151E-2</v>
      </c>
      <c r="AI34" s="1">
        <f t="shared" si="16"/>
        <v>-3.0463820164679429E-2</v>
      </c>
      <c r="AJ34" s="1">
        <f>-2/空力安定性!$G$36/空力安定性!$G$47*A34*C34*SIN(AC34)</f>
        <v>-5.1647511665231391E-2</v>
      </c>
      <c r="AK34" s="1">
        <f>-4/空力安定性!$G$36/空力安定性!$G$47*A34*SIN(AC34)*COS(AC34)*C34</f>
        <v>-0.10022671968312738</v>
      </c>
      <c r="AL34" s="1">
        <f>-4/空力安定性!$G$36/空力安定性!$G$47^2*COS(AC34)*(A34*COS(AC34)+AE34*SIN(AC34))*C34</f>
        <v>-0.45096743153036051</v>
      </c>
      <c r="AM34" s="1">
        <f>-4/空力安定性!$G$36/空力安定性!$G$47^2*C34*COS(AC34)*A34^2</f>
        <v>-5.5929650863899651E-2</v>
      </c>
      <c r="AN34" s="1">
        <f>4/空力安定性!$G$36/空力安定性!$G$47*2*A34*C34*SIN(AC34)</f>
        <v>0.20659004666092556</v>
      </c>
      <c r="AO34" s="1">
        <f>4/空力安定性!$G$36/空力安定性!$G$47^2*2*(A34*COS(AC34)+AE34*SIN(AC34))*C34*A34</f>
        <v>0.12548875895858877</v>
      </c>
      <c r="AP34" s="1">
        <f>8/空力安定性!$G$36/空力安定性!$G$47^2*A34^2*C34</f>
        <v>0.11528372093023256</v>
      </c>
      <c r="AR34" s="1">
        <f>Y34*プロパティ!D$13</f>
        <v>0.12104577240000003</v>
      </c>
      <c r="AS34" s="1">
        <f>V34*プロパティ!$D$13</f>
        <v>9.4259452209033631E-3</v>
      </c>
      <c r="AT34" s="1">
        <f>Z34*プロパティ!D$13</f>
        <v>4.3992146910000002E-2</v>
      </c>
      <c r="AU34" s="1">
        <f>SUM($AS35:AS$67)*(($A35+$A34)/2-$A34)+AU35</f>
        <v>4.9092688886839212E-3</v>
      </c>
      <c r="AV34" s="1">
        <f t="shared" si="3"/>
        <v>5.6927473325822783E-3</v>
      </c>
      <c r="AW34" s="1">
        <f t="shared" si="18"/>
        <v>5.3652163434415182E-3</v>
      </c>
      <c r="AX34" s="1">
        <f t="shared" si="19"/>
        <v>0.30740425265381099</v>
      </c>
      <c r="AY34" s="1">
        <f t="shared" si="20"/>
        <v>8.9646273880275562E-4</v>
      </c>
    </row>
    <row r="35" spans="1:51">
      <c r="A35" s="1">
        <v>0.14000000000000001</v>
      </c>
      <c r="C35" s="1">
        <v>0.17</v>
      </c>
      <c r="E35" s="1">
        <f t="shared" si="4"/>
        <v>2.8900000000000006E-2</v>
      </c>
      <c r="F35" s="1">
        <f>$C$7*荷重解析!$D$1-C35*(荷重解析!$D$1-0.25)</f>
        <v>4.250000000000001E-2</v>
      </c>
      <c r="G35" s="1">
        <f t="shared" si="5"/>
        <v>7.2250000000000023E-3</v>
      </c>
      <c r="H35" s="1">
        <f t="shared" si="6"/>
        <v>10.150700000000001</v>
      </c>
      <c r="I35" s="1">
        <f t="shared" si="7"/>
        <v>7.7277532867500005</v>
      </c>
      <c r="J35" s="1">
        <f t="shared" si="8"/>
        <v>8.5000000000000006E-4</v>
      </c>
      <c r="K35" s="1">
        <f>C35*0.01*一般構造素材物性!$H$22*2</f>
        <v>3.5360000000000003E-2</v>
      </c>
      <c r="L35" s="1">
        <f>一般構造素材物性!$H$34*0.01*Lavender!H35/1000+一般構造素材物性!$H$20*0.005*0.01*2</f>
        <v>5.1579955555555557E-2</v>
      </c>
      <c r="M35" s="1">
        <f>一般構造素材物性!$H$19*0.01*0.015</f>
        <v>1.35E-2</v>
      </c>
      <c r="N35" s="1">
        <f t="shared" si="9"/>
        <v>1.35E-2</v>
      </c>
      <c r="O35" s="1">
        <f>IF(COUNTIF(Python読み込み用データ!$Q$4:$Q$13,Lavender!A35*1000),1,0)</f>
        <v>0</v>
      </c>
      <c r="P35" s="1">
        <f t="shared" si="10"/>
        <v>2.2332231288888892E-6</v>
      </c>
      <c r="Q35" s="1">
        <f t="shared" si="11"/>
        <v>3.6044646440000005E-7</v>
      </c>
      <c r="S35" s="1">
        <f>荷重解析!E31*0.01</f>
        <v>1.99443108E-2</v>
      </c>
      <c r="T35" s="1">
        <f>(荷重解析!F31+荷重解析!F32)/2*0.01</f>
        <v>1.04385875E-3</v>
      </c>
      <c r="U35" s="1">
        <f>(荷重解析!G31+荷重解析!G32)/2*0.5*1.293*(荷重解析!C31^2+荷重解析!$B$1^2)*((C36+C35)/2)*0.01*COS(RADIANS(荷重解析!D31))</f>
        <v>5.16310970435793E-4</v>
      </c>
      <c r="V35" s="1">
        <f t="shared" si="12"/>
        <v>1.560169720435793E-3</v>
      </c>
      <c r="W35" s="1">
        <f>(荷重解析!H31+荷重解析!H32)/2*0.5*1.293*(荷重解析!C31^2+荷重解析!$B$1^2)*((C36+C35)/2)^2*0.01</f>
        <v>-3.8574540098213232E-4</v>
      </c>
      <c r="Y35" s="1">
        <f>IF(A35=プロパティ!$D$3,S35-プロパティ!$D$8,S35)</f>
        <v>1.99443108E-2</v>
      </c>
      <c r="Z35" s="1">
        <f>SUM(Y36:$Y$91)*(($A36+$A35)/2-$A35)+Z36</f>
        <v>6.53699261025E-3</v>
      </c>
      <c r="AA35" s="1">
        <f>AB35*H35/1000/2*一般構造素材物性!$M$7/1000</f>
        <v>3.8639656044903305E-5</v>
      </c>
      <c r="AB35" s="1">
        <f t="shared" si="1"/>
        <v>8.4591114230552909E-4</v>
      </c>
      <c r="AC35" s="1">
        <f t="shared" si="13"/>
        <v>0.24434609527920614</v>
      </c>
      <c r="AD35" s="1">
        <f t="shared" si="14"/>
        <v>14</v>
      </c>
      <c r="AE35" s="1">
        <f t="shared" si="17"/>
        <v>6.8416906678177722E-2</v>
      </c>
      <c r="AF35" s="1">
        <f t="shared" si="2"/>
        <v>68.416906678177725</v>
      </c>
      <c r="AG35" s="1">
        <f t="shared" si="15"/>
        <v>33.510986280132428</v>
      </c>
      <c r="AH35" s="68">
        <f>-2/空力安定性!$G$36*SIN(AC35)^2*C35</f>
        <v>-9.2553066111546151E-2</v>
      </c>
      <c r="AI35" s="1">
        <f t="shared" si="16"/>
        <v>-3.1592109800408295E-2</v>
      </c>
      <c r="AJ35" s="1">
        <f>-2/空力安定性!$G$36/空力安定性!$G$47*A35*C35*SIN(AC35)</f>
        <v>-5.3560382467647362E-2</v>
      </c>
      <c r="AK35" s="1">
        <f>-4/空力安定性!$G$36/空力安定性!$G$47*A35*SIN(AC35)*COS(AC35)*C35</f>
        <v>-0.10393882041213209</v>
      </c>
      <c r="AL35" s="1">
        <f>-4/空力安定性!$G$36/空力安定性!$G$47^2*COS(AC35)*(A35*COS(AC35)+AE35*SIN(AC35))*C35</f>
        <v>-0.46766992899444787</v>
      </c>
      <c r="AM35" s="1">
        <f>-4/空力安定性!$G$36/空力安定性!$G$47^2*C35*COS(AC35)*A35^2</f>
        <v>-6.0149309022355733E-2</v>
      </c>
      <c r="AN35" s="1">
        <f>4/空力安定性!$G$36/空力安定性!$G$47*2*A35*C35*SIN(AC35)</f>
        <v>0.21424152987058945</v>
      </c>
      <c r="AO35" s="1">
        <f>4/空力安定性!$G$36/空力安定性!$G$47^2*2*(A35*COS(AC35)+AE35*SIN(AC35))*C35*A35</f>
        <v>0.13495636080045759</v>
      </c>
      <c r="AP35" s="1">
        <f>8/空力安定性!$G$36/空力安定性!$G$47^2*A35^2*C35</f>
        <v>0.12398139534883723</v>
      </c>
      <c r="AR35" s="1">
        <f>Y35*プロパティ!D$13</f>
        <v>0.11966586479999999</v>
      </c>
      <c r="AS35" s="1">
        <f>V35*プロパティ!$D$13</f>
        <v>9.3610183226147583E-3</v>
      </c>
      <c r="AT35" s="1">
        <f>Z35*プロパティ!D$13</f>
        <v>3.9221955661499996E-2</v>
      </c>
      <c r="AU35" s="1">
        <f>SUM($AS36:AS$67)*(($A36+$A35)/2-$A35)+AU36</f>
        <v>4.4345508597942417E-3</v>
      </c>
      <c r="AV35" s="1">
        <f t="shared" si="3"/>
        <v>5.0754668538331741E-3</v>
      </c>
      <c r="AW35" s="1">
        <f t="shared" si="18"/>
        <v>5.4221438167673412E-3</v>
      </c>
      <c r="AX35" s="1">
        <f t="shared" si="19"/>
        <v>0.3106659566137242</v>
      </c>
      <c r="AY35" s="1">
        <f t="shared" si="20"/>
        <v>9.5011490223717078E-4</v>
      </c>
    </row>
    <row r="36" spans="1:51">
      <c r="A36" s="1">
        <v>0.14499999999999999</v>
      </c>
      <c r="C36" s="1">
        <v>0.17</v>
      </c>
      <c r="E36" s="1">
        <f t="shared" si="4"/>
        <v>2.8900000000000006E-2</v>
      </c>
      <c r="F36" s="1">
        <f>$C$7*荷重解析!$D$1-C36*(荷重解析!$D$1-0.25)</f>
        <v>4.250000000000001E-2</v>
      </c>
      <c r="G36" s="1">
        <f t="shared" si="5"/>
        <v>7.2250000000000023E-3</v>
      </c>
      <c r="H36" s="1">
        <f t="shared" si="6"/>
        <v>10.150700000000001</v>
      </c>
      <c r="I36" s="1">
        <f t="shared" si="7"/>
        <v>7.7277532867500005</v>
      </c>
      <c r="J36" s="1">
        <f t="shared" si="8"/>
        <v>8.5000000000000006E-4</v>
      </c>
      <c r="K36" s="1">
        <f>C36*0.01*一般構造素材物性!$H$22*2</f>
        <v>3.5360000000000003E-2</v>
      </c>
      <c r="L36" s="1">
        <f>一般構造素材物性!$H$34*0.01*Lavender!H36/1000+一般構造素材物性!$H$20*0.005*0.01*2</f>
        <v>5.1579955555555557E-2</v>
      </c>
      <c r="M36" s="1">
        <f>一般構造素材物性!$H$19*0.01*0.015</f>
        <v>1.35E-2</v>
      </c>
      <c r="N36" s="1">
        <f t="shared" si="9"/>
        <v>1.35E-2</v>
      </c>
      <c r="O36" s="1">
        <f>IF(COUNTIF(Python読み込み用データ!$Q$4:$Q$13,Lavender!A36*1000),1,0)</f>
        <v>0</v>
      </c>
      <c r="P36" s="1">
        <f t="shared" si="10"/>
        <v>2.3955875655555554E-6</v>
      </c>
      <c r="Q36" s="1">
        <f t="shared" si="11"/>
        <v>3.6044646440000005E-7</v>
      </c>
      <c r="S36" s="1">
        <f>荷重解析!E32*0.01</f>
        <v>1.9700284299999999E-2</v>
      </c>
      <c r="T36" s="1">
        <f>(荷重解析!F32+荷重解析!F33)/2*0.01</f>
        <v>1.0306362999999998E-3</v>
      </c>
      <c r="U36" s="1">
        <f>(荷重解析!G32+荷重解析!G33)/2*0.5*1.293*(荷重解析!C32^2+荷重解析!$B$1^2)*((C37+C36)/2)*0.01*COS(RADIANS(荷重解析!D32))</f>
        <v>5.2234399255812931E-4</v>
      </c>
      <c r="V36" s="1">
        <f t="shared" si="12"/>
        <v>1.552980292558129E-3</v>
      </c>
      <c r="W36" s="1">
        <f>(荷重解析!H32+荷重解析!H33)/2*0.5*1.293*(荷重解析!C32^2+荷重解析!$B$1^2)*((C37+C36)/2)^2*0.01</f>
        <v>-3.8497465128150058E-4</v>
      </c>
      <c r="Y36" s="1">
        <f>IF(A36=プロパティ!$D$3,S36-プロパティ!$D$8,S36)</f>
        <v>1.9700284299999999E-2</v>
      </c>
      <c r="Z36" s="1">
        <f>SUM(Y37:$Y$91)*(($A37+$A36)/2-$A36)+Z37</f>
        <v>5.7918215124999999E-3</v>
      </c>
      <c r="AA36" s="1">
        <f>AB36*H36/1000/2*一般構造素材物性!$M$7/1000</f>
        <v>3.4235007511797215E-5</v>
      </c>
      <c r="AB36" s="1">
        <f t="shared" si="1"/>
        <v>7.4948323239442077E-4</v>
      </c>
      <c r="AC36" s="1">
        <f t="shared" si="13"/>
        <v>0.24434609527920614</v>
      </c>
      <c r="AD36" s="1">
        <f t="shared" si="14"/>
        <v>14</v>
      </c>
      <c r="AE36" s="1">
        <f t="shared" si="17"/>
        <v>7.0860367630969784E-2</v>
      </c>
      <c r="AF36" s="1">
        <f t="shared" si="2"/>
        <v>70.86036763096979</v>
      </c>
      <c r="AG36" s="1">
        <f t="shared" si="15"/>
        <v>34.707807218708595</v>
      </c>
      <c r="AH36" s="68">
        <f>-2/空力安定性!$G$36*SIN(AC36)^2*C36</f>
        <v>-9.2553066111546151E-2</v>
      </c>
      <c r="AI36" s="1">
        <f t="shared" si="16"/>
        <v>-3.2720399436137158E-2</v>
      </c>
      <c r="AJ36" s="1">
        <f>-2/空力安定性!$G$36/空力安定性!$G$47*A36*C36*SIN(AC36)</f>
        <v>-5.547325327006334E-2</v>
      </c>
      <c r="AK36" s="1">
        <f>-4/空力安定性!$G$36/空力安定性!$G$47*A36*SIN(AC36)*COS(AC36)*C36</f>
        <v>-0.10765092114113681</v>
      </c>
      <c r="AL36" s="1">
        <f>-4/空力安定性!$G$36/空力安定性!$G$47^2*COS(AC36)*(A36*COS(AC36)+AE36*SIN(AC36))*C36</f>
        <v>-0.48437242645853529</v>
      </c>
      <c r="AM36" s="1">
        <f>-4/空力安定性!$G$36/空力安定性!$G$47^2*C36*COS(AC36)*A36^2</f>
        <v>-6.4522409295664745E-2</v>
      </c>
      <c r="AN36" s="1">
        <f>4/空力安定性!$G$36/空力安定性!$G$47*2*A36*C36*SIN(AC36)</f>
        <v>0.22189301308025336</v>
      </c>
      <c r="AO36" s="1">
        <f>4/空力安定性!$G$36/空力安定性!$G$47^2*2*(A36*COS(AC36)+AE36*SIN(AC36))*C36*A36</f>
        <v>0.14476823907293981</v>
      </c>
      <c r="AP36" s="1">
        <f>8/空力安定性!$G$36/空力安定性!$G$47^2*A36^2*C36</f>
        <v>0.13299534883720929</v>
      </c>
      <c r="AR36" s="1">
        <f>Y36*プロパティ!D$13</f>
        <v>0.1182017058</v>
      </c>
      <c r="AS36" s="1">
        <f>V36*プロパティ!$D$13</f>
        <v>9.3178817553487732E-3</v>
      </c>
      <c r="AT36" s="1">
        <f>Z36*プロパティ!D$13</f>
        <v>3.4750929074999999E-2</v>
      </c>
      <c r="AU36" s="1">
        <f>SUM($AS37:AS$67)*(($A37+$A36)/2-$A36)+AU37</f>
        <v>3.9832353767110988E-3</v>
      </c>
      <c r="AV36" s="1">
        <f t="shared" si="3"/>
        <v>4.4968993943665251E-3</v>
      </c>
      <c r="AW36" s="1">
        <f t="shared" si="18"/>
        <v>5.4728984853056727E-3</v>
      </c>
      <c r="AX36" s="1">
        <f t="shared" si="19"/>
        <v>0.31357398491155603</v>
      </c>
      <c r="AY36" s="1">
        <f t="shared" si="20"/>
        <v>1.0043363404048443E-3</v>
      </c>
    </row>
    <row r="37" spans="1:51">
      <c r="A37" s="1">
        <v>0.15</v>
      </c>
      <c r="C37" s="1">
        <v>0.17</v>
      </c>
      <c r="E37" s="1">
        <f t="shared" si="4"/>
        <v>2.8900000000000006E-2</v>
      </c>
      <c r="F37" s="1">
        <f>$C$7*荷重解析!$D$1-C37*(荷重解析!$D$1-0.25)</f>
        <v>4.250000000000001E-2</v>
      </c>
      <c r="G37" s="1">
        <f t="shared" si="5"/>
        <v>7.2250000000000023E-3</v>
      </c>
      <c r="H37" s="1">
        <f t="shared" si="6"/>
        <v>10.150700000000001</v>
      </c>
      <c r="I37" s="1">
        <f t="shared" si="7"/>
        <v>7.7277532867500005</v>
      </c>
      <c r="J37" s="1">
        <f t="shared" si="8"/>
        <v>8.5000000000000006E-4</v>
      </c>
      <c r="K37" s="1">
        <f>C37*0.01*一般構造素材物性!$H$22*2</f>
        <v>3.5360000000000003E-2</v>
      </c>
      <c r="L37" s="1">
        <f>一般構造素材物性!$H$34*0.01*Lavender!H37/1000+一般構造素材物性!$H$20*0.005*0.01*2</f>
        <v>5.1579955555555557E-2</v>
      </c>
      <c r="M37" s="1">
        <f>一般構造素材物性!$H$19*0.01*0.015</f>
        <v>1.35E-2</v>
      </c>
      <c r="N37" s="1">
        <f t="shared" si="9"/>
        <v>1.35E-2</v>
      </c>
      <c r="O37" s="1">
        <f>IF(COUNTIF(Python読み込み用データ!$Q$4:$Q$13,Lavender!A37*1000),1,0)</f>
        <v>1</v>
      </c>
      <c r="P37" s="1">
        <f t="shared" si="10"/>
        <v>2.5063649000000002E-5</v>
      </c>
      <c r="Q37" s="1">
        <f t="shared" si="11"/>
        <v>3.6044646440000005E-7</v>
      </c>
      <c r="S37" s="1">
        <f>荷重解析!E33*0.01</f>
        <v>1.94434689E-2</v>
      </c>
      <c r="T37" s="1">
        <f>(荷重解析!F33+荷重解析!F34)/2*0.01</f>
        <v>1.02251785E-3</v>
      </c>
      <c r="U37" s="1">
        <f>(荷重解析!G33+荷重解析!G34)/2*0.5*1.293*(荷重解析!C33^2+荷重解析!$B$1^2)*((C38+C37)/2)*0.01*COS(RADIANS(荷重解析!D33))</f>
        <v>5.2960547736989974E-4</v>
      </c>
      <c r="V37" s="1">
        <f t="shared" si="12"/>
        <v>1.5521233273698997E-3</v>
      </c>
      <c r="W37" s="1">
        <f>(荷重解析!H33+荷重解析!H34)/2*0.5*1.293*(荷重解析!C33^2+荷重解析!$B$1^2)*((C38+C37)/2)^2*0.01</f>
        <v>-3.8418236996352228E-4</v>
      </c>
      <c r="Y37" s="1">
        <f>IF(A37=プロパティ!$D$3,S37-プロパティ!$D$8,S37)</f>
        <v>1.94434689E-2</v>
      </c>
      <c r="Z37" s="1">
        <f>SUM(Y38:$Y$91)*(($A38+$A37)/2-$A37)+Z38</f>
        <v>5.0959011254999992E-3</v>
      </c>
      <c r="AA37" s="1">
        <f>AB37*H37/1000/2*一般構造素材物性!$M$7/1000</f>
        <v>3.012147610805166E-5</v>
      </c>
      <c r="AB37" s="1">
        <f t="shared" si="1"/>
        <v>6.59428547523305E-4</v>
      </c>
      <c r="AC37" s="1">
        <f t="shared" si="13"/>
        <v>0.24434609527920614</v>
      </c>
      <c r="AD37" s="1">
        <f t="shared" si="14"/>
        <v>14</v>
      </c>
      <c r="AE37" s="1">
        <f t="shared" si="17"/>
        <v>7.3303828583761846E-2</v>
      </c>
      <c r="AF37" s="1">
        <f t="shared" si="2"/>
        <v>73.303828583761842</v>
      </c>
      <c r="AG37" s="1">
        <f t="shared" si="15"/>
        <v>35.904628157284741</v>
      </c>
      <c r="AH37" s="68">
        <f>-2/空力安定性!$G$36*SIN(AC37)^2*C37</f>
        <v>-9.2553066111546151E-2</v>
      </c>
      <c r="AI37" s="1">
        <f t="shared" si="16"/>
        <v>-3.3848689071866028E-2</v>
      </c>
      <c r="AJ37" s="1">
        <f>-2/空力安定性!$G$36/空力安定性!$G$47*A37*C37*SIN(AC37)</f>
        <v>-5.7386124072479318E-2</v>
      </c>
      <c r="AK37" s="1">
        <f>-4/空力安定性!$G$36/空力安定性!$G$47*A37*SIN(AC37)*COS(AC37)*C37</f>
        <v>-0.11136302187014153</v>
      </c>
      <c r="AL37" s="1">
        <f>-4/空力安定性!$G$36/空力安定性!$G$47^2*COS(AC37)*(A37*COS(AC37)+AE37*SIN(AC37))*C37</f>
        <v>-0.50107492392262287</v>
      </c>
      <c r="AM37" s="1">
        <f>-4/空力安定性!$G$36/空力安定性!$G$47^2*C37*COS(AC37)*A37^2</f>
        <v>-6.9048951683826715E-2</v>
      </c>
      <c r="AN37" s="1">
        <f>4/空力安定性!$G$36/空力安定性!$G$47*2*A37*C37*SIN(AC37)</f>
        <v>0.22954449628991727</v>
      </c>
      <c r="AO37" s="1">
        <f>4/空力安定性!$G$36/空力安定性!$G$47^2*2*(A37*COS(AC37)+AE37*SIN(AC37))*C37*A37</f>
        <v>0.15492439377603548</v>
      </c>
      <c r="AP37" s="1">
        <f>8/空力安定性!$G$36/空力安定性!$G$47^2*A37^2*C37</f>
        <v>0.14232558139534882</v>
      </c>
      <c r="AR37" s="1">
        <f>Y37*プロパティ!D$13</f>
        <v>0.11666081340000001</v>
      </c>
      <c r="AS37" s="1">
        <f>V37*プロパティ!$D$13</f>
        <v>9.3127399642193992E-3</v>
      </c>
      <c r="AT37" s="1">
        <f>Z37*プロパティ!D$13</f>
        <v>3.0575406752999995E-2</v>
      </c>
      <c r="AU37" s="1">
        <f>SUM($AS38:AS$67)*(($A38+$A37)/2-$A37)+AU38</f>
        <v>3.555214598016328E-3</v>
      </c>
      <c r="AV37" s="1">
        <f t="shared" si="3"/>
        <v>3.95657128513983E-3</v>
      </c>
      <c r="AW37" s="1">
        <f t="shared" si="18"/>
        <v>5.5178674792493382E-3</v>
      </c>
      <c r="AX37" s="1">
        <f t="shared" si="19"/>
        <v>0.31615051847347742</v>
      </c>
      <c r="AY37" s="1">
        <f t="shared" si="20"/>
        <v>1.059065325257901E-3</v>
      </c>
    </row>
    <row r="38" spans="1:51">
      <c r="A38" s="1">
        <v>0.155</v>
      </c>
      <c r="C38" s="1">
        <v>0.17</v>
      </c>
      <c r="E38" s="1">
        <f t="shared" si="4"/>
        <v>2.8900000000000006E-2</v>
      </c>
      <c r="F38" s="1">
        <f>$C$7*荷重解析!$D$1-C38*(荷重解析!$D$1-0.25)</f>
        <v>4.250000000000001E-2</v>
      </c>
      <c r="G38" s="1">
        <f t="shared" si="5"/>
        <v>7.2250000000000023E-3</v>
      </c>
      <c r="H38" s="1">
        <f t="shared" si="6"/>
        <v>10.150700000000001</v>
      </c>
      <c r="I38" s="1">
        <f t="shared" si="7"/>
        <v>7.7277532867500005</v>
      </c>
      <c r="J38" s="1">
        <f t="shared" si="8"/>
        <v>8.5000000000000006E-4</v>
      </c>
      <c r="K38" s="1">
        <f>C38*0.01*一般構造素材物性!$H$22*2</f>
        <v>3.5360000000000003E-2</v>
      </c>
      <c r="L38" s="1">
        <f>一般構造素材物性!$H$34*0.01*Lavender!H38/1000+一般構造素材物性!$H$20*0.005*0.01*2</f>
        <v>5.1579955555555557E-2</v>
      </c>
      <c r="M38" s="1">
        <f>一般構造素材物性!$H$19*0.01*0.015</f>
        <v>1.35E-2</v>
      </c>
      <c r="N38" s="1">
        <f t="shared" si="9"/>
        <v>1.35E-2</v>
      </c>
      <c r="O38" s="1">
        <f>IF(COUNTIF(Python読み込み用データ!$Q$4:$Q$13,Lavender!A38*1000),1,0)</f>
        <v>0</v>
      </c>
      <c r="P38" s="1">
        <f t="shared" si="10"/>
        <v>2.7374074322222226E-6</v>
      </c>
      <c r="Q38" s="1">
        <f t="shared" si="11"/>
        <v>3.6044646440000005E-7</v>
      </c>
      <c r="S38" s="1">
        <f>荷重解析!E34*0.01</f>
        <v>1.9174928000000001E-2</v>
      </c>
      <c r="T38" s="1">
        <f>(荷重解析!F34+荷重解析!F35)/2*0.01</f>
        <v>1.0189370499999999E-3</v>
      </c>
      <c r="U38" s="1">
        <f>(荷重解析!G34+荷重解析!G35)/2*0.5*1.293*(荷重解析!C34^2+荷重解析!$B$1^2)*((C39+C38)/2)*0.01*COS(RADIANS(荷重解析!D34))</f>
        <v>5.3802191422467976E-4</v>
      </c>
      <c r="V38" s="1">
        <f t="shared" si="12"/>
        <v>1.5569589642246797E-3</v>
      </c>
      <c r="W38" s="1">
        <f>(荷重解析!H34+荷重解析!H35)/2*0.5*1.293*(荷重解析!C34^2+荷重解析!$B$1^2)*((C39+C38)/2)^2*0.01</f>
        <v>-3.833900378563429E-4</v>
      </c>
      <c r="Y38" s="1">
        <f>IF(A38=プロパティ!$D$3,S38-プロパティ!$D$8,S38)</f>
        <v>1.9174928000000001E-2</v>
      </c>
      <c r="Z38" s="1">
        <f>SUM(Y39:$Y$91)*(($A39+$A38)/2-$A38)+Z39</f>
        <v>4.4485894107499984E-3</v>
      </c>
      <c r="AA38" s="1">
        <f>AB38*H38/1000/2*一般構造素材物性!$M$7/1000</f>
        <v>2.629526679391568E-5</v>
      </c>
      <c r="AB38" s="1">
        <f t="shared" si="1"/>
        <v>5.7566400552377191E-4</v>
      </c>
      <c r="AC38" s="1">
        <f t="shared" si="13"/>
        <v>0.24434609527920614</v>
      </c>
      <c r="AD38" s="1">
        <f t="shared" si="14"/>
        <v>14</v>
      </c>
      <c r="AE38" s="1">
        <f t="shared" si="17"/>
        <v>7.5747289536553908E-2</v>
      </c>
      <c r="AF38" s="1">
        <f t="shared" si="2"/>
        <v>75.747289536553907</v>
      </c>
      <c r="AG38" s="1">
        <f t="shared" si="15"/>
        <v>37.1014490958609</v>
      </c>
      <c r="AH38" s="68">
        <f>-2/空力安定性!$G$36*SIN(AC38)^2*C38</f>
        <v>-9.2553066111546151E-2</v>
      </c>
      <c r="AI38" s="1">
        <f t="shared" si="16"/>
        <v>-3.4976978707594898E-2</v>
      </c>
      <c r="AJ38" s="1">
        <f>-2/空力安定性!$G$36/空力安定性!$G$47*A38*C38*SIN(AC38)</f>
        <v>-5.9298994874895296E-2</v>
      </c>
      <c r="AK38" s="1">
        <f>-4/空力安定性!$G$36/空力安定性!$G$47*A38*SIN(AC38)*COS(AC38)*C38</f>
        <v>-0.11507512259914626</v>
      </c>
      <c r="AL38" s="1">
        <f>-4/空力安定性!$G$36/空力安定性!$G$47^2*COS(AC38)*(A38*COS(AC38)+AE38*SIN(AC38))*C38</f>
        <v>-0.51777742138671023</v>
      </c>
      <c r="AM38" s="1">
        <f>-4/空力安定性!$G$36/空力安定性!$G$47^2*C38*COS(AC38)*A38^2</f>
        <v>-7.3728936186841648E-2</v>
      </c>
      <c r="AN38" s="1">
        <f>4/空力安定性!$G$36/空力安定性!$G$47*2*A38*C38*SIN(AC38)</f>
        <v>0.23719597949958118</v>
      </c>
      <c r="AO38" s="1">
        <f>4/空力安定性!$G$36/空力安定性!$G$47^2*2*(A38*COS(AC38)+AE38*SIN(AC38))*C38*A38</f>
        <v>0.16542482490974453</v>
      </c>
      <c r="AP38" s="1">
        <f>8/空力安定性!$G$36/空力安定性!$G$47^2*A38^2*C38</f>
        <v>0.15197209302325582</v>
      </c>
      <c r="AR38" s="1">
        <f>Y38*プロパティ!D$13</f>
        <v>0.115049568</v>
      </c>
      <c r="AS38" s="1">
        <f>V38*プロパティ!$D$13</f>
        <v>9.3417537853480778E-3</v>
      </c>
      <c r="AT38" s="1">
        <f>Z38*プロパティ!D$13</f>
        <v>2.6691536464499989E-2</v>
      </c>
      <c r="AU38" s="1">
        <f>SUM($AS39:AS$67)*(($A39+$A38)/2-$A38)+AU39</f>
        <v>3.1504756692321057E-3</v>
      </c>
      <c r="AV38" s="1">
        <f t="shared" si="3"/>
        <v>3.4539840331426308E-3</v>
      </c>
      <c r="AW38" s="1">
        <f t="shared" si="18"/>
        <v>5.5574331921007369E-3</v>
      </c>
      <c r="AX38" s="1">
        <f t="shared" si="19"/>
        <v>0.31841746683328909</v>
      </c>
      <c r="AY38" s="1">
        <f t="shared" si="20"/>
        <v>1.1142440000503945E-3</v>
      </c>
    </row>
    <row r="39" spans="1:51">
      <c r="A39" s="1">
        <v>0.16</v>
      </c>
      <c r="C39" s="1">
        <v>0.17</v>
      </c>
      <c r="E39" s="1">
        <f t="shared" si="4"/>
        <v>2.8900000000000006E-2</v>
      </c>
      <c r="F39" s="1">
        <f>$C$7*荷重解析!$D$1-C39*(荷重解析!$D$1-0.25)</f>
        <v>4.250000000000001E-2</v>
      </c>
      <c r="G39" s="1">
        <f t="shared" si="5"/>
        <v>7.2250000000000023E-3</v>
      </c>
      <c r="H39" s="1">
        <f t="shared" si="6"/>
        <v>10.150700000000001</v>
      </c>
      <c r="I39" s="1">
        <f t="shared" si="7"/>
        <v>7.7277532867500005</v>
      </c>
      <c r="J39" s="1">
        <f t="shared" si="8"/>
        <v>8.5000000000000006E-4</v>
      </c>
      <c r="K39" s="1">
        <f>C39*0.01*一般構造素材物性!$H$22*2</f>
        <v>3.5360000000000003E-2</v>
      </c>
      <c r="L39" s="1">
        <f>一般構造素材物性!$H$34*0.01*Lavender!H39/1000+一般構造素材物性!$H$20*0.005*0.01*2</f>
        <v>5.1579955555555557E-2</v>
      </c>
      <c r="M39" s="1">
        <f>一般構造素材物性!$H$19*0.01*0.015</f>
        <v>1.35E-2</v>
      </c>
      <c r="N39" s="1">
        <f t="shared" si="9"/>
        <v>1.35E-2</v>
      </c>
      <c r="O39" s="1">
        <f>IF(COUNTIF(Python読み込み用データ!$Q$4:$Q$13,Lavender!A39*1000),1,0)</f>
        <v>0</v>
      </c>
      <c r="P39" s="1">
        <f t="shared" si="10"/>
        <v>2.9168628622222226E-6</v>
      </c>
      <c r="Q39" s="1">
        <f t="shared" si="11"/>
        <v>3.6044646440000005E-7</v>
      </c>
      <c r="S39" s="1">
        <f>荷重解析!E35*0.01</f>
        <v>1.8892583099999999E-2</v>
      </c>
      <c r="T39" s="1">
        <f>(荷重解析!F35+荷重解析!F36)/2*0.01</f>
        <v>1.0166356000000001E-3</v>
      </c>
      <c r="U39" s="1">
        <f>(荷重解析!G35+荷重解析!G36)/2*0.5*1.293*(荷重解析!C35^2+荷重解析!$B$1^2)*((C40+C39)/2)*0.01*COS(RADIANS(荷重解析!D35))</f>
        <v>5.4696004313104429E-4</v>
      </c>
      <c r="V39" s="1">
        <f t="shared" si="12"/>
        <v>1.5635956431310444E-3</v>
      </c>
      <c r="W39" s="1">
        <f>(荷重解析!H35+荷重解析!H36)/2*0.5*1.293*(荷重解析!C35^2+荷重解析!$B$1^2)*((C40+C39)/2)^2*0.01</f>
        <v>-3.8259444638225201E-4</v>
      </c>
      <c r="Y39" s="1">
        <f>IF(A39=プロパティ!$D$3,S39-プロパティ!$D$8,S39)</f>
        <v>1.8892583099999999E-2</v>
      </c>
      <c r="Z39" s="1">
        <f>SUM(Y40:$Y$91)*(($A40+$A39)/2-$A39)+Z40</f>
        <v>3.8492150159999978E-3</v>
      </c>
      <c r="AA39" s="1">
        <f>AB39*H39/1000/2*一般構造素材物性!$M$7/1000</f>
        <v>2.2752411258336856E-5</v>
      </c>
      <c r="AB39" s="1">
        <f t="shared" si="1"/>
        <v>4.9810273091919989E-4</v>
      </c>
      <c r="AC39" s="1">
        <f t="shared" si="13"/>
        <v>0.24434609527920614</v>
      </c>
      <c r="AD39" s="1">
        <f t="shared" si="14"/>
        <v>14</v>
      </c>
      <c r="AE39" s="1">
        <f t="shared" si="17"/>
        <v>7.819075048934597E-2</v>
      </c>
      <c r="AF39" s="1">
        <f t="shared" si="2"/>
        <v>78.190750489345973</v>
      </c>
      <c r="AG39" s="1">
        <f t="shared" si="15"/>
        <v>38.29827003443706</v>
      </c>
      <c r="AH39" s="68">
        <f>-2/空力安定性!$G$36*SIN(AC39)^2*C39</f>
        <v>-9.2553066111546151E-2</v>
      </c>
      <c r="AI39" s="1">
        <f t="shared" si="16"/>
        <v>-3.6105268343323761E-2</v>
      </c>
      <c r="AJ39" s="1">
        <f>-2/空力安定性!$G$36/空力安定性!$G$47*A39*C39*SIN(AC39)</f>
        <v>-6.1211865677311274E-2</v>
      </c>
      <c r="AK39" s="1">
        <f>-4/空力安定性!$G$36/空力安定性!$G$47*A39*SIN(AC39)*COS(AC39)*C39</f>
        <v>-0.11878722332815096</v>
      </c>
      <c r="AL39" s="1">
        <f>-4/空力安定性!$G$36/空力安定性!$G$47^2*COS(AC39)*(A39*COS(AC39)+AE39*SIN(AC39))*C39</f>
        <v>-0.53447991885079771</v>
      </c>
      <c r="AM39" s="1">
        <f>-4/空力安定性!$G$36/空力安定性!$G$47^2*C39*COS(AC39)*A39^2</f>
        <v>-7.8562362804709518E-2</v>
      </c>
      <c r="AN39" s="1">
        <f>4/空力安定性!$G$36/空力安定性!$G$47*2*A39*C39*SIN(AC39)</f>
        <v>0.2448474627092451</v>
      </c>
      <c r="AO39" s="1">
        <f>4/空力安定性!$G$36/空力安定性!$G$47^2*2*(A39*COS(AC39)+AE39*SIN(AC39))*C39*A39</f>
        <v>0.17626953247406704</v>
      </c>
      <c r="AP39" s="1">
        <f>8/空力安定性!$G$36/空力安定性!$G$47^2*A39^2*C39</f>
        <v>0.16193488372093023</v>
      </c>
      <c r="AR39" s="1">
        <f>Y39*プロパティ!D$13</f>
        <v>0.11335549859999999</v>
      </c>
      <c r="AS39" s="1">
        <f>V39*プロパティ!$D$13</f>
        <v>9.3815738587862667E-3</v>
      </c>
      <c r="AT39" s="1">
        <f>Z39*プロパティ!D$13</f>
        <v>2.3095290095999987E-2</v>
      </c>
      <c r="AU39" s="1">
        <f>SUM($AS40:AS$67)*(($A40+$A39)/2-$A39)+AU40</f>
        <v>2.7690911249112536E-3</v>
      </c>
      <c r="AV39" s="1">
        <f t="shared" si="3"/>
        <v>2.9886163855151991E-3</v>
      </c>
      <c r="AW39" s="1">
        <f t="shared" si="18"/>
        <v>5.5919730324321629E-3</v>
      </c>
      <c r="AX39" s="1">
        <f t="shared" si="19"/>
        <v>0.32039645390933558</v>
      </c>
      <c r="AY39" s="1">
        <f t="shared" si="20"/>
        <v>1.169818331971402E-3</v>
      </c>
    </row>
    <row r="40" spans="1:51">
      <c r="A40" s="1">
        <v>0.16500000000000001</v>
      </c>
      <c r="C40" s="1">
        <v>0.17</v>
      </c>
      <c r="E40" s="1">
        <f t="shared" si="4"/>
        <v>2.8900000000000006E-2</v>
      </c>
      <c r="F40" s="1">
        <f>$C$7*荷重解析!$D$1-C40*(荷重解析!$D$1-0.25)</f>
        <v>4.250000000000001E-2</v>
      </c>
      <c r="G40" s="1">
        <f t="shared" si="5"/>
        <v>7.2250000000000023E-3</v>
      </c>
      <c r="H40" s="1">
        <f t="shared" si="6"/>
        <v>10.150700000000001</v>
      </c>
      <c r="I40" s="1">
        <f t="shared" si="7"/>
        <v>7.7277532867500005</v>
      </c>
      <c r="J40" s="1">
        <f t="shared" si="8"/>
        <v>8.5000000000000006E-4</v>
      </c>
      <c r="K40" s="1">
        <f>C40*0.01*一般構造素材物性!$H$22*2</f>
        <v>3.5360000000000003E-2</v>
      </c>
      <c r="L40" s="1">
        <f>一般構造素材物性!$H$34*0.01*Lavender!H40/1000+一般構造素材物性!$H$20*0.005*0.01*2</f>
        <v>5.1579955555555557E-2</v>
      </c>
      <c r="M40" s="1">
        <f>一般構造素材物性!$H$19*0.01*0.015</f>
        <v>1.35E-2</v>
      </c>
      <c r="N40" s="1">
        <f t="shared" si="9"/>
        <v>1.35E-2</v>
      </c>
      <c r="O40" s="1">
        <f>IF(COUNTIF(Python読み込み用データ!$Q$4:$Q$13,Lavender!A40*1000),1,0)</f>
        <v>0</v>
      </c>
      <c r="P40" s="1">
        <f t="shared" si="10"/>
        <v>3.1020152900000003E-6</v>
      </c>
      <c r="Q40" s="1">
        <f t="shared" si="11"/>
        <v>3.6044646440000005E-7</v>
      </c>
      <c r="S40" s="1">
        <f>荷重解析!E36*0.01</f>
        <v>1.85949184E-2</v>
      </c>
      <c r="T40" s="1">
        <f>(荷重解析!F36+荷重解析!F37)/2*0.01</f>
        <v>1.0157032E-3</v>
      </c>
      <c r="U40" s="1">
        <f>(荷重解析!G36+荷重解析!G37)/2*0.5*1.293*(荷重解析!C36^2+荷重解析!$B$1^2)*((C41+C40)/2)*0.01*COS(RADIANS(荷重解析!D36))</f>
        <v>5.5649003926834181E-4</v>
      </c>
      <c r="V40" s="1">
        <f t="shared" si="12"/>
        <v>1.5721932392683418E-3</v>
      </c>
      <c r="W40" s="1">
        <f>(荷重解析!H36+荷重解析!H37)/2*0.5*1.293*(荷重解析!C36^2+荷重解析!$B$1^2)*((C41+C40)/2)^2*0.01</f>
        <v>-3.8179560405317427E-4</v>
      </c>
      <c r="Y40" s="1">
        <f>IF(A40=プロパティ!$D$3,S40-プロパティ!$D$8,S40)</f>
        <v>1.85949184E-2</v>
      </c>
      <c r="Z40" s="1">
        <f>SUM(Y41:$Y$91)*(($A41+$A40)/2-$A40)+Z41</f>
        <v>3.2970720789999974E-3</v>
      </c>
      <c r="AA40" s="1">
        <f>AB40*H40/1000/2*一般構造素材物性!$M$7/1000</f>
        <v>1.9488737204330717E-5</v>
      </c>
      <c r="AB40" s="1">
        <f t="shared" si="1"/>
        <v>4.2665338251069096E-4</v>
      </c>
      <c r="AC40" s="1">
        <f t="shared" si="13"/>
        <v>0.24434609527920614</v>
      </c>
      <c r="AD40" s="1">
        <f t="shared" si="14"/>
        <v>14</v>
      </c>
      <c r="AE40" s="1">
        <f t="shared" si="17"/>
        <v>8.0634211442138032E-2</v>
      </c>
      <c r="AF40" s="1">
        <f t="shared" si="2"/>
        <v>80.634211442138039</v>
      </c>
      <c r="AG40" s="1">
        <f t="shared" si="15"/>
        <v>39.49509097301322</v>
      </c>
      <c r="AH40" s="68">
        <f>-2/空力安定性!$G$36*SIN(AC40)^2*C40</f>
        <v>-9.2553066111546151E-2</v>
      </c>
      <c r="AI40" s="1">
        <f t="shared" si="16"/>
        <v>-3.7233557979052631E-2</v>
      </c>
      <c r="AJ40" s="1">
        <f>-2/空力安定性!$G$36/空力安定性!$G$47*A40*C40*SIN(AC40)</f>
        <v>-6.3124736479727245E-2</v>
      </c>
      <c r="AK40" s="1">
        <f>-4/空力安定性!$G$36/空力安定性!$G$47*A40*SIN(AC40)*COS(AC40)*C40</f>
        <v>-0.12249932405715568</v>
      </c>
      <c r="AL40" s="1">
        <f>-4/空力安定性!$G$36/空力安定性!$G$47^2*COS(AC40)*(A40*COS(AC40)+AE40*SIN(AC40))*C40</f>
        <v>-0.55118241631488507</v>
      </c>
      <c r="AM40" s="1">
        <f>-4/空力安定性!$G$36/空力安定性!$G$47^2*C40*COS(AC40)*A40^2</f>
        <v>-8.3549231537430338E-2</v>
      </c>
      <c r="AN40" s="1">
        <f>4/空力安定性!$G$36/空力安定性!$G$47*2*A40*C40*SIN(AC40)</f>
        <v>0.25249894591890898</v>
      </c>
      <c r="AO40" s="1">
        <f>4/空力安定性!$G$36/空力安定性!$G$47^2*2*(A40*COS(AC40)+AE40*SIN(AC40))*C40*A40</f>
        <v>0.18745851646900294</v>
      </c>
      <c r="AP40" s="1">
        <f>8/空力安定性!$G$36/空力安定性!$G$47^2*A40^2*C40</f>
        <v>0.1722139534883721</v>
      </c>
      <c r="AR40" s="1">
        <f>Y40*プロパティ!D$13</f>
        <v>0.1115695104</v>
      </c>
      <c r="AS40" s="1">
        <f>V40*プロパティ!$D$13</f>
        <v>9.4331594356100515E-3</v>
      </c>
      <c r="AT40" s="1">
        <f>Z40*プロパティ!D$13</f>
        <v>1.9782432473999984E-2</v>
      </c>
      <c r="AU40" s="1">
        <f>SUM($AS41:AS$67)*(($A41+$A40)/2-$A40)+AU41</f>
        <v>2.4111605152373674E-3</v>
      </c>
      <c r="AV40" s="1">
        <f t="shared" si="3"/>
        <v>2.5599202950641457E-3</v>
      </c>
      <c r="AW40" s="1">
        <f t="shared" si="18"/>
        <v>5.6218591962873153E-3</v>
      </c>
      <c r="AX40" s="1">
        <f t="shared" si="19"/>
        <v>0.32210880496407224</v>
      </c>
      <c r="AY40" s="1">
        <f t="shared" si="20"/>
        <v>1.2257380622957236E-3</v>
      </c>
    </row>
    <row r="41" spans="1:51">
      <c r="A41" s="1">
        <v>0.17</v>
      </c>
      <c r="C41" s="1">
        <v>0.17</v>
      </c>
      <c r="E41" s="1">
        <f t="shared" si="4"/>
        <v>2.8900000000000006E-2</v>
      </c>
      <c r="F41" s="1">
        <f>$C$7*荷重解析!$D$1-C41*(荷重解析!$D$1-0.25)</f>
        <v>4.250000000000001E-2</v>
      </c>
      <c r="G41" s="1">
        <f t="shared" si="5"/>
        <v>7.2250000000000023E-3</v>
      </c>
      <c r="H41" s="1">
        <f t="shared" si="6"/>
        <v>10.150700000000001</v>
      </c>
      <c r="I41" s="1">
        <f t="shared" si="7"/>
        <v>7.7277532867500005</v>
      </c>
      <c r="J41" s="1">
        <f t="shared" si="8"/>
        <v>8.5000000000000006E-4</v>
      </c>
      <c r="K41" s="1">
        <f>C41*0.01*一般構造素材物性!$H$22*2</f>
        <v>3.5360000000000003E-2</v>
      </c>
      <c r="L41" s="1">
        <f>一般構造素材物性!$H$34*0.01*Lavender!H41/1000+一般構造素材物性!$H$20*0.005*0.01*2</f>
        <v>5.1579955555555557E-2</v>
      </c>
      <c r="M41" s="1">
        <f>一般構造素材物性!$H$19*0.01*0.015</f>
        <v>1.35E-2</v>
      </c>
      <c r="N41" s="1">
        <f t="shared" si="9"/>
        <v>1.35E-2</v>
      </c>
      <c r="O41" s="1">
        <f>IF(COUNTIF(Python読み込み用データ!$Q$4:$Q$13,Lavender!A41*1000),1,0)</f>
        <v>0</v>
      </c>
      <c r="P41" s="1">
        <f t="shared" si="10"/>
        <v>3.2928647155555565E-6</v>
      </c>
      <c r="Q41" s="1">
        <f t="shared" si="11"/>
        <v>3.6044646440000005E-7</v>
      </c>
      <c r="S41" s="1">
        <f>荷重解析!E37*0.01</f>
        <v>1.82804453E-2</v>
      </c>
      <c r="T41" s="1">
        <f>(荷重解析!F37+荷重解析!F38)/2*0.01</f>
        <v>1.01621945E-3</v>
      </c>
      <c r="U41" s="1">
        <f>(荷重解析!G37+荷重解析!G38)/2*0.5*1.293*(荷重解析!C37^2+荷重解析!$B$1^2)*((C42+C41)/2)*0.01*COS(RADIANS(荷重解析!D37))</f>
        <v>5.6656796446942991E-4</v>
      </c>
      <c r="V41" s="1">
        <f t="shared" si="12"/>
        <v>1.5827874144694299E-3</v>
      </c>
      <c r="W41" s="1">
        <f>(荷重解析!H37+荷重解析!H38)/2*0.5*1.293*(荷重解析!C37^2+荷重解析!$B$1^2)*((C42+C41)/2)^2*0.01</f>
        <v>-3.8086071368203454E-4</v>
      </c>
      <c r="Y41" s="1">
        <f>IF(A41=プロパティ!$D$3,S41-プロパティ!$D$8,S41)</f>
        <v>1.82804453E-2</v>
      </c>
      <c r="Z41" s="1">
        <f>SUM(Y42:$Y$91)*(($A42+$A41)/2-$A41)+Z42</f>
        <v>2.7914164379999971E-3</v>
      </c>
      <c r="AA41" s="1">
        <f>AB41*H41/1000/2*一般構造素材物性!$M$7/1000</f>
        <v>1.6499845949540408E-5</v>
      </c>
      <c r="AB41" s="1">
        <f t="shared" si="1"/>
        <v>3.6121966300168477E-4</v>
      </c>
      <c r="AC41" s="1">
        <f t="shared" si="13"/>
        <v>0.24434609527920614</v>
      </c>
      <c r="AD41" s="1">
        <f t="shared" si="14"/>
        <v>14</v>
      </c>
      <c r="AE41" s="1">
        <f t="shared" si="17"/>
        <v>8.3077672394930094E-2</v>
      </c>
      <c r="AF41" s="1">
        <f t="shared" si="2"/>
        <v>83.07767239493009</v>
      </c>
      <c r="AG41" s="1">
        <f t="shared" si="15"/>
        <v>40.691911911589372</v>
      </c>
      <c r="AH41" s="68">
        <f>-2/空力安定性!$G$36*SIN(AC41)^2*C41</f>
        <v>-9.2553066111546151E-2</v>
      </c>
      <c r="AI41" s="1">
        <f t="shared" si="16"/>
        <v>-3.8361847614781501E-2</v>
      </c>
      <c r="AJ41" s="1">
        <f>-2/空力安定性!$G$36/空力安定性!$G$47*A41*C41*SIN(AC41)</f>
        <v>-6.5037607282143237E-2</v>
      </c>
      <c r="AK41" s="1">
        <f>-4/空力安定性!$G$36/空力安定性!$G$47*A41*SIN(AC41)*COS(AC41)*C41</f>
        <v>-0.12621142478616043</v>
      </c>
      <c r="AL41" s="1">
        <f>-4/空力安定性!$G$36/空力安定性!$G$47^2*COS(AC41)*(A41*COS(AC41)+AE41*SIN(AC41))*C41</f>
        <v>-0.56788491377897243</v>
      </c>
      <c r="AM41" s="1">
        <f>-4/空力安定性!$G$36/空力安定性!$G$47^2*C41*COS(AC41)*A41^2</f>
        <v>-8.8689542385004122E-2</v>
      </c>
      <c r="AN41" s="1">
        <f>4/空力安定性!$G$36/空力安定性!$G$47*2*A41*C41*SIN(AC41)</f>
        <v>0.26015042912857295</v>
      </c>
      <c r="AO41" s="1">
        <f>4/空力安定性!$G$36/空力安定性!$G$47^2*2*(A41*COS(AC41)+AE41*SIN(AC41))*C41*A41</f>
        <v>0.19899177689455227</v>
      </c>
      <c r="AP41" s="1">
        <f>8/空力安定性!$G$36/空力安定性!$G$47^2*A41^2*C41</f>
        <v>0.1828093023255814</v>
      </c>
      <c r="AR41" s="1">
        <f>Y41*プロパティ!D$13</f>
        <v>0.10968267179999999</v>
      </c>
      <c r="AS41" s="1">
        <f>V41*プロパティ!$D$13</f>
        <v>9.4967244868165799E-3</v>
      </c>
      <c r="AT41" s="1">
        <f>Z41*プロパティ!D$13</f>
        <v>1.6748498627999982E-2</v>
      </c>
      <c r="AU41" s="1">
        <f>SUM($AS42:AS$67)*(($A42+$A41)/2-$A41)+AU42</f>
        <v>2.0768128041525062E-3</v>
      </c>
      <c r="AV41" s="1">
        <f t="shared" si="3"/>
        <v>2.1673179780101089E-3</v>
      </c>
      <c r="AW41" s="1">
        <f t="shared" si="18"/>
        <v>5.6474583992379571E-3</v>
      </c>
      <c r="AX41" s="1">
        <f t="shared" si="19"/>
        <v>0.32357553125204286</v>
      </c>
      <c r="AY41" s="1">
        <f t="shared" si="20"/>
        <v>1.2819566542585966E-3</v>
      </c>
    </row>
    <row r="42" spans="1:51">
      <c r="A42" s="1">
        <v>0.17499999999999999</v>
      </c>
      <c r="C42" s="1">
        <v>0.17</v>
      </c>
      <c r="E42" s="1">
        <f t="shared" si="4"/>
        <v>2.8900000000000006E-2</v>
      </c>
      <c r="F42" s="1">
        <f>$C$7*荷重解析!$D$1-C42*(荷重解析!$D$1-0.25)</f>
        <v>4.250000000000001E-2</v>
      </c>
      <c r="G42" s="1">
        <f t="shared" si="5"/>
        <v>7.2250000000000023E-3</v>
      </c>
      <c r="H42" s="1">
        <f t="shared" si="6"/>
        <v>10.150700000000001</v>
      </c>
      <c r="I42" s="1">
        <f t="shared" si="7"/>
        <v>7.7277532867500005</v>
      </c>
      <c r="J42" s="1">
        <f t="shared" si="8"/>
        <v>8.5000000000000006E-4</v>
      </c>
      <c r="K42" s="1">
        <f>C42*0.01*一般構造素材物性!$H$22*2</f>
        <v>3.5360000000000003E-2</v>
      </c>
      <c r="L42" s="1">
        <f>一般構造素材物性!$H$34*0.01*Lavender!H42/1000+一般構造素材物性!$H$20*0.005*0.01*2</f>
        <v>5.1579955555555557E-2</v>
      </c>
      <c r="M42" s="1">
        <f>一般構造素材物性!$H$19*0.01*0.015</f>
        <v>1.35E-2</v>
      </c>
      <c r="N42" s="1">
        <f t="shared" si="9"/>
        <v>1.35E-2</v>
      </c>
      <c r="O42" s="1">
        <f>IF(COUNTIF(Python読み込み用データ!$Q$4:$Q$13,Lavender!A42*1000),1,0)</f>
        <v>0</v>
      </c>
      <c r="P42" s="1">
        <f t="shared" si="10"/>
        <v>3.4894111388888886E-6</v>
      </c>
      <c r="Q42" s="1">
        <f t="shared" si="11"/>
        <v>3.6044646440000005E-7</v>
      </c>
      <c r="S42" s="1">
        <f>荷重解析!E38*0.01</f>
        <v>1.79473611E-2</v>
      </c>
      <c r="T42" s="1">
        <f>(荷重解析!F38+荷重解析!F39)/2*0.01</f>
        <v>1.0182633999999999E-3</v>
      </c>
      <c r="U42" s="1">
        <f>(荷重解析!G38+荷重解析!G39)/2*0.5*1.293*(荷重解析!C38^2+荷重解析!$B$1^2)*((C43+C42)/2)*0.01*COS(RADIANS(荷重解析!D38))</f>
        <v>5.7702955134002491E-4</v>
      </c>
      <c r="V42" s="1">
        <f t="shared" si="12"/>
        <v>1.5952929513400249E-3</v>
      </c>
      <c r="W42" s="1">
        <f>(荷重解析!H38+荷重解析!H39)/2*0.5*1.293*(荷重解析!C38^2+荷重解析!$B$1^2)*((C43+C42)/2)^2*0.01</f>
        <v>-3.7951067850906323E-4</v>
      </c>
      <c r="Y42" s="1">
        <f>IF(A42=プロパティ!$D$3,S42-プロパティ!$D$8,S42)</f>
        <v>1.79473611E-2</v>
      </c>
      <c r="Z42" s="1">
        <f>SUM(Y43:$Y$91)*(($A43+$A42)/2-$A42)+Z43</f>
        <v>2.3314619102500021E-3</v>
      </c>
      <c r="AA42" s="1">
        <f>AB42*H42/1000/2*一般構造素材物性!$M$7/1000</f>
        <v>1.3781090428738916E-5</v>
      </c>
      <c r="AB42" s="1">
        <f t="shared" si="1"/>
        <v>3.0169983742202598E-4</v>
      </c>
      <c r="AC42" s="1">
        <f t="shared" si="13"/>
        <v>0.24434609527920614</v>
      </c>
      <c r="AD42" s="1">
        <f t="shared" si="14"/>
        <v>14</v>
      </c>
      <c r="AE42" s="1">
        <f t="shared" si="17"/>
        <v>8.5521133347722156E-2</v>
      </c>
      <c r="AF42" s="1">
        <f t="shared" si="2"/>
        <v>85.521133347722156</v>
      </c>
      <c r="AG42" s="1">
        <f t="shared" si="15"/>
        <v>41.888732850165539</v>
      </c>
      <c r="AH42" s="68">
        <f>-2/空力安定性!$G$36*SIN(AC42)^2*C42</f>
        <v>-9.2553066111546151E-2</v>
      </c>
      <c r="AI42" s="1">
        <f t="shared" si="16"/>
        <v>-3.9490137250510364E-2</v>
      </c>
      <c r="AJ42" s="1">
        <f>-2/空力安定性!$G$36/空力安定性!$G$47*A42*C42*SIN(AC42)</f>
        <v>-6.6950478084559215E-2</v>
      </c>
      <c r="AK42" s="1">
        <f>-4/空力安定性!$G$36/空力安定性!$G$47*A42*SIN(AC42)*COS(AC42)*C42</f>
        <v>-0.12992352551516512</v>
      </c>
      <c r="AL42" s="1">
        <f>-4/空力安定性!$G$36/空力安定性!$G$47^2*COS(AC42)*(A42*COS(AC42)+AE42*SIN(AC42))*C42</f>
        <v>-0.58458741124305991</v>
      </c>
      <c r="AM42" s="1">
        <f>-4/空力安定性!$G$36/空力安定性!$G$47^2*C42*COS(AC42)*A42^2</f>
        <v>-9.3983295347430801E-2</v>
      </c>
      <c r="AN42" s="1">
        <f>4/空力安定性!$G$36/空力安定性!$G$47*2*A42*C42*SIN(AC42)</f>
        <v>0.26780191233823686</v>
      </c>
      <c r="AO42" s="1">
        <f>4/空力安定性!$G$36/空力安定性!$G$47^2*2*(A42*COS(AC42)+AE42*SIN(AC42))*C42*A42</f>
        <v>0.21086931375071497</v>
      </c>
      <c r="AP42" s="1">
        <f>8/空力安定性!$G$36/空力安定性!$G$47^2*A42^2*C42</f>
        <v>0.19372093023255813</v>
      </c>
      <c r="AR42" s="1">
        <f>Y42*プロパティ!D$13</f>
        <v>0.10768416659999999</v>
      </c>
      <c r="AS42" s="1">
        <f>V42*プロパティ!$D$13</f>
        <v>9.5717577080401493E-3</v>
      </c>
      <c r="AT42" s="1">
        <f>Z42*プロパティ!D$13</f>
        <v>1.3988771461500012E-2</v>
      </c>
      <c r="AU42" s="1">
        <f>SUM($AS43:AS$67)*(($A43+$A42)/2-$A42)+AU43</f>
        <v>1.7662069042846901E-3</v>
      </c>
      <c r="AV42" s="1">
        <f t="shared" si="3"/>
        <v>1.8101990245321558E-3</v>
      </c>
      <c r="AW42" s="1">
        <f t="shared" si="18"/>
        <v>5.6691315790180583E-3</v>
      </c>
      <c r="AX42" s="1">
        <f t="shared" si="19"/>
        <v>0.32481731298207089</v>
      </c>
      <c r="AY42" s="1">
        <f t="shared" si="20"/>
        <v>1.3384312382509762E-3</v>
      </c>
    </row>
    <row r="43" spans="1:51">
      <c r="A43" s="1">
        <v>0.18</v>
      </c>
      <c r="C43" s="1">
        <v>0.17</v>
      </c>
      <c r="E43" s="1">
        <f t="shared" si="4"/>
        <v>2.8900000000000006E-2</v>
      </c>
      <c r="F43" s="1">
        <f>$C$7*荷重解析!$D$1-C43*(荷重解析!$D$1-0.25)</f>
        <v>4.250000000000001E-2</v>
      </c>
      <c r="G43" s="1">
        <f t="shared" si="5"/>
        <v>7.2250000000000023E-3</v>
      </c>
      <c r="H43" s="1">
        <f t="shared" si="6"/>
        <v>10.150700000000001</v>
      </c>
      <c r="I43" s="1">
        <f t="shared" si="7"/>
        <v>7.7277532867500005</v>
      </c>
      <c r="J43" s="1">
        <f t="shared" si="8"/>
        <v>8.5000000000000006E-4</v>
      </c>
      <c r="K43" s="1">
        <f>C43*0.01*一般構造素材物性!$H$22*2</f>
        <v>3.5360000000000003E-2</v>
      </c>
      <c r="L43" s="1">
        <f>一般構造素材物性!$H$34*0.01*Lavender!H43/1000+一般構造素材物性!$H$20*0.005*0.01*2</f>
        <v>5.1579955555555557E-2</v>
      </c>
      <c r="M43" s="1">
        <f>一般構造素材物性!$H$19*0.01*0.015</f>
        <v>1.35E-2</v>
      </c>
      <c r="N43" s="1">
        <f t="shared" si="9"/>
        <v>1.35E-2</v>
      </c>
      <c r="O43" s="1">
        <f>IF(COUNTIF(Python読み込み用データ!$Q$4:$Q$13,Lavender!A43*1000),1,0)</f>
        <v>0</v>
      </c>
      <c r="P43" s="1">
        <f t="shared" si="10"/>
        <v>3.6916545600000001E-6</v>
      </c>
      <c r="Q43" s="1">
        <f t="shared" si="11"/>
        <v>3.6044646440000005E-7</v>
      </c>
      <c r="S43" s="1">
        <f>荷重解析!E39*0.01</f>
        <v>1.7593508899999999E-2</v>
      </c>
      <c r="T43" s="1">
        <f>(荷重解析!F39+荷重解析!F40)/2*0.01</f>
        <v>1.0219096000000001E-3</v>
      </c>
      <c r="U43" s="1">
        <f>(荷重解析!G39+荷重解析!G40)/2*0.5*1.293*(荷重解析!C39^2+荷重解析!$B$1^2)*((C44+C43)/2)*0.01*COS(RADIANS(荷重解析!D39))</f>
        <v>5.8806377349648463E-4</v>
      </c>
      <c r="V43" s="1">
        <f t="shared" si="12"/>
        <v>1.6099733734964848E-3</v>
      </c>
      <c r="W43" s="1">
        <f>(荷重解析!H39+荷重解析!H40)/2*0.5*1.293*(荷重解析!C39^2+荷重解析!$B$1^2)*((C44+C43)/2)^2*0.01</f>
        <v>-3.778271289212244E-4</v>
      </c>
      <c r="Y43" s="1">
        <f>IF(A43=プロパティ!$D$3,S43-プロパティ!$D$8,S43)</f>
        <v>1.7593508899999999E-2</v>
      </c>
      <c r="Z43" s="1">
        <f>SUM(Y44:$Y$91)*(($A44+$A43)/2-$A43)+Z44</f>
        <v>1.9163757852500016E-3</v>
      </c>
      <c r="AA43" s="1">
        <f>AB43*H43/1000/2*一般構造素材物性!$M$7/1000</f>
        <v>1.1327548554779483E-5</v>
      </c>
      <c r="AB43" s="1">
        <f t="shared" si="1"/>
        <v>2.4798614993775981E-4</v>
      </c>
      <c r="AC43" s="1">
        <f t="shared" si="13"/>
        <v>0.24434609527920614</v>
      </c>
      <c r="AD43" s="1">
        <f t="shared" si="14"/>
        <v>14</v>
      </c>
      <c r="AE43" s="1">
        <f t="shared" si="17"/>
        <v>8.7964594300514218E-2</v>
      </c>
      <c r="AF43" s="1">
        <f t="shared" si="2"/>
        <v>87.964594300514221</v>
      </c>
      <c r="AG43" s="1">
        <f t="shared" si="15"/>
        <v>43.085553788741699</v>
      </c>
      <c r="AH43" s="68">
        <f>-2/空力安定性!$G$36*SIN(AC43)^2*C43</f>
        <v>-9.2553066111546151E-2</v>
      </c>
      <c r="AI43" s="1">
        <f t="shared" si="16"/>
        <v>-4.0618426886239234E-2</v>
      </c>
      <c r="AJ43" s="1">
        <f>-2/空力安定性!$G$36/空力安定性!$G$47*A43*C43*SIN(AC43)</f>
        <v>-6.8863348886975179E-2</v>
      </c>
      <c r="AK43" s="1">
        <f>-4/空力安定性!$G$36/空力安定性!$G$47*A43*SIN(AC43)*COS(AC43)*C43</f>
        <v>-0.13363562624416983</v>
      </c>
      <c r="AL43" s="1">
        <f>-4/空力安定性!$G$36/空力安定性!$G$47^2*COS(AC43)*(A43*COS(AC43)+AE43*SIN(AC43))*C43</f>
        <v>-0.60128990870714738</v>
      </c>
      <c r="AM43" s="1">
        <f>-4/空力安定性!$G$36/空力安定性!$G$47^2*C43*COS(AC43)*A43^2</f>
        <v>-9.9430490424710471E-2</v>
      </c>
      <c r="AN43" s="1">
        <f>4/空力安定性!$G$36/空力安定性!$G$47*2*A43*C43*SIN(AC43)</f>
        <v>0.27545339554790071</v>
      </c>
      <c r="AO43" s="1">
        <f>4/空力安定性!$G$36/空力安定性!$G$47^2*2*(A43*COS(AC43)+AE43*SIN(AC43))*C43*A43</f>
        <v>0.22309112703749109</v>
      </c>
      <c r="AP43" s="1">
        <f>8/空力安定性!$G$36/空力安定性!$G$47^2*A43^2*C43</f>
        <v>0.20494883720930232</v>
      </c>
      <c r="AR43" s="1">
        <f>Y43*プロパティ!D$13</f>
        <v>0.10556105339999999</v>
      </c>
      <c r="AS43" s="1">
        <f>V43*プロパティ!$D$13</f>
        <v>9.6598402409789098E-3</v>
      </c>
      <c r="AT43" s="1">
        <f>Z43*プロパティ!D$13</f>
        <v>1.1498254711500009E-2</v>
      </c>
      <c r="AU43" s="1">
        <f>SUM($AS44:AS$67)*(($A44+$A43)/2-$A43)+AU44</f>
        <v>1.4795303986869708E-3</v>
      </c>
      <c r="AV43" s="1">
        <f t="shared" si="3"/>
        <v>1.4879168996265587E-3</v>
      </c>
      <c r="AW43" s="1">
        <f t="shared" si="18"/>
        <v>5.6872335692633802E-3</v>
      </c>
      <c r="AX43" s="1">
        <f t="shared" si="19"/>
        <v>0.32585448062391481</v>
      </c>
      <c r="AY43" s="1">
        <f t="shared" si="20"/>
        <v>1.3951225540411569E-3</v>
      </c>
    </row>
    <row r="44" spans="1:51">
      <c r="A44" s="1">
        <v>0.185</v>
      </c>
      <c r="C44" s="1">
        <v>0.17</v>
      </c>
      <c r="E44" s="1">
        <f t="shared" si="4"/>
        <v>2.8900000000000006E-2</v>
      </c>
      <c r="F44" s="1">
        <f>$C$7*荷重解析!$D$1-C44*(荷重解析!$D$1-0.25)</f>
        <v>4.250000000000001E-2</v>
      </c>
      <c r="G44" s="1">
        <f t="shared" si="5"/>
        <v>7.2250000000000023E-3</v>
      </c>
      <c r="H44" s="1">
        <f t="shared" si="6"/>
        <v>10.150700000000001</v>
      </c>
      <c r="I44" s="1">
        <f t="shared" si="7"/>
        <v>7.7277532867500005</v>
      </c>
      <c r="J44" s="1">
        <f t="shared" si="8"/>
        <v>8.5000000000000006E-4</v>
      </c>
      <c r="K44" s="1">
        <f>C44*0.01*一般構造素材物性!$H$22*2</f>
        <v>3.5360000000000003E-2</v>
      </c>
      <c r="L44" s="1">
        <f>一般構造素材物性!$H$34*0.01*Lavender!H44/1000+一般構造素材物性!$H$20*0.005*0.01*2</f>
        <v>5.1579955555555557E-2</v>
      </c>
      <c r="M44" s="1">
        <f>一般構造素材物性!$H$19*0.01*0.015</f>
        <v>1.35E-2</v>
      </c>
      <c r="N44" s="1">
        <f t="shared" si="9"/>
        <v>1.35E-2</v>
      </c>
      <c r="O44" s="1">
        <f>IF(COUNTIF(Python読み込み用データ!$Q$4:$Q$13,Lavender!A44*1000),1,0)</f>
        <v>0</v>
      </c>
      <c r="P44" s="1">
        <f t="shared" si="10"/>
        <v>3.8995949788888892E-6</v>
      </c>
      <c r="Q44" s="1">
        <f t="shared" si="11"/>
        <v>3.6044646440000005E-7</v>
      </c>
      <c r="S44" s="1">
        <f>荷重解析!E40*0.01</f>
        <v>1.7216262400000001E-2</v>
      </c>
      <c r="T44" s="1">
        <f>(荷重解析!F40+荷重解析!F41)/2*0.01</f>
        <v>1.0272312E-3</v>
      </c>
      <c r="U44" s="1">
        <f>(荷重解析!G40+荷重解析!G41)/2*0.5*1.293*(荷重解析!C40^2+荷重解析!$B$1^2)*((C45+C44)/2)*0.01*COS(RADIANS(荷重解析!D40))</f>
        <v>6.0045294593383432E-4</v>
      </c>
      <c r="V44" s="1">
        <f t="shared" si="12"/>
        <v>1.6276841459338344E-3</v>
      </c>
      <c r="W44" s="1">
        <f>(荷重解析!H40+荷重解析!H41)/2*0.5*1.293*(荷重解析!C40^2+荷重解析!$B$1^2)*((C45+C44)/2)^2*0.01</f>
        <v>-3.7628566350618128E-4</v>
      </c>
      <c r="Y44" s="1">
        <f>IF(A44=プロパティ!$D$3,S44-プロパティ!$D$8,S44)</f>
        <v>1.7216262400000001E-2</v>
      </c>
      <c r="Z44" s="1">
        <f>SUM(Y45:$Y$91)*(($A45+$A44)/2-$A44)+Z45</f>
        <v>1.5452734325000013E-3</v>
      </c>
      <c r="AA44" s="1">
        <f>AB44*H44/1000/2*一般構造素材物性!$M$7/1000</f>
        <v>9.1339913454244588E-6</v>
      </c>
      <c r="AB44" s="1">
        <f t="shared" si="1"/>
        <v>1.9996412607394258E-4</v>
      </c>
      <c r="AC44" s="1">
        <f t="shared" si="13"/>
        <v>0.24434609527920614</v>
      </c>
      <c r="AD44" s="1">
        <f t="shared" si="14"/>
        <v>14</v>
      </c>
      <c r="AE44" s="1">
        <f t="shared" si="17"/>
        <v>9.040805525330628E-2</v>
      </c>
      <c r="AF44" s="1">
        <f t="shared" si="2"/>
        <v>90.408055253306273</v>
      </c>
      <c r="AG44" s="1">
        <f t="shared" si="15"/>
        <v>44.282374727317844</v>
      </c>
      <c r="AH44" s="68">
        <f>-2/空力安定性!$G$36*SIN(AC44)^2*C44</f>
        <v>-9.2553066111546151E-2</v>
      </c>
      <c r="AI44" s="1">
        <f t="shared" si="16"/>
        <v>-4.1746716521968097E-2</v>
      </c>
      <c r="AJ44" s="1">
        <f>-2/空力安定性!$G$36/空力安定性!$G$47*A44*C44*SIN(AC44)</f>
        <v>-7.0776219689391157E-2</v>
      </c>
      <c r="AK44" s="1">
        <f>-4/空力安定性!$G$36/空力安定性!$G$47*A44*SIN(AC44)*COS(AC44)*C44</f>
        <v>-0.13734772697317454</v>
      </c>
      <c r="AL44" s="1">
        <f>-4/空力安定性!$G$36/空力安定性!$G$47^2*COS(AC44)*(A44*COS(AC44)+AE44*SIN(AC44))*C44</f>
        <v>-0.61799240617123474</v>
      </c>
      <c r="AM44" s="1">
        <f>-4/空力安定性!$G$36/空力安定性!$G$47^2*C44*COS(AC44)*A44^2</f>
        <v>-0.10503112761684309</v>
      </c>
      <c r="AN44" s="1">
        <f>4/空力安定性!$G$36/空力安定性!$G$47*2*A44*C44*SIN(AC44)</f>
        <v>0.28310487875756463</v>
      </c>
      <c r="AO44" s="1">
        <f>4/空力安定性!$G$36/空力安定性!$G$47^2*2*(A44*COS(AC44)+AE44*SIN(AC44))*C44*A44</f>
        <v>0.23565721675488063</v>
      </c>
      <c r="AP44" s="1">
        <f>8/空力安定性!$G$36/空力安定性!$G$47^2*A44^2*C44</f>
        <v>0.21649302325581393</v>
      </c>
      <c r="AR44" s="1">
        <f>Y44*プロパティ!D$13</f>
        <v>0.10329757440000001</v>
      </c>
      <c r="AS44" s="1">
        <f>V44*プロパティ!$D$13</f>
        <v>9.7661048756030062E-3</v>
      </c>
      <c r="AT44" s="1">
        <f>Z44*プロパティ!D$13</f>
        <v>9.2716405950000087E-3</v>
      </c>
      <c r="AU44" s="1">
        <f>SUM($AS45:AS$67)*(($A45+$A44)/2-$A44)+AU45</f>
        <v>1.2170034936916988E-3</v>
      </c>
      <c r="AV44" s="1">
        <f t="shared" si="3"/>
        <v>1.1997847564436557E-3</v>
      </c>
      <c r="AW44" s="1">
        <f t="shared" si="18"/>
        <v>5.7021127382596458E-3</v>
      </c>
      <c r="AX44" s="1">
        <f t="shared" si="19"/>
        <v>0.32670699421006277</v>
      </c>
      <c r="AY44" s="1">
        <f t="shared" si="20"/>
        <v>1.4519948897337906E-3</v>
      </c>
    </row>
    <row r="45" spans="1:51">
      <c r="A45" s="1">
        <v>0.19</v>
      </c>
      <c r="C45" s="1">
        <v>0.17</v>
      </c>
      <c r="E45" s="1">
        <f t="shared" si="4"/>
        <v>2.8900000000000006E-2</v>
      </c>
      <c r="F45" s="1">
        <f>$C$7*荷重解析!$D$1-C45*(荷重解析!$D$1-0.25)</f>
        <v>4.250000000000001E-2</v>
      </c>
      <c r="G45" s="1">
        <f t="shared" si="5"/>
        <v>7.2250000000000023E-3</v>
      </c>
      <c r="H45" s="1">
        <f t="shared" si="6"/>
        <v>10.150700000000001</v>
      </c>
      <c r="I45" s="1">
        <f t="shared" si="7"/>
        <v>7.7277532867500005</v>
      </c>
      <c r="J45" s="1">
        <f t="shared" si="8"/>
        <v>8.5000000000000006E-4</v>
      </c>
      <c r="K45" s="1">
        <f>C45*0.01*一般構造素材物性!$H$22*2</f>
        <v>3.5360000000000003E-2</v>
      </c>
      <c r="L45" s="1">
        <f>一般構造素材物性!$H$34*0.01*Lavender!H45/1000+一般構造素材物性!$H$20*0.005*0.01*2</f>
        <v>5.1579955555555557E-2</v>
      </c>
      <c r="M45" s="1">
        <f>一般構造素材物性!$H$19*0.01*0.015</f>
        <v>1.35E-2</v>
      </c>
      <c r="N45" s="1">
        <f t="shared" si="9"/>
        <v>1.35E-2</v>
      </c>
      <c r="O45" s="1">
        <f>IF(COUNTIF(Python読み込み用データ!$Q$4:$Q$13,Lavender!A45*1000),1,0)</f>
        <v>0</v>
      </c>
      <c r="P45" s="1">
        <f t="shared" si="10"/>
        <v>4.1132323955555559E-6</v>
      </c>
      <c r="Q45" s="1">
        <f t="shared" si="11"/>
        <v>3.6044646440000005E-7</v>
      </c>
      <c r="S45" s="1">
        <f>荷重解析!E41*0.01</f>
        <v>1.68121281E-2</v>
      </c>
      <c r="T45" s="1">
        <f>(荷重解析!F41+荷重解析!F42)/2*0.01</f>
        <v>1.0342840500000001E-3</v>
      </c>
      <c r="U45" s="1">
        <f>(荷重解析!G41+荷重解析!G42)/2*0.5*1.293*(荷重解析!C41^2+荷重解析!$B$1^2)*((C46+C45)/2)*0.01*COS(RADIANS(荷重解析!D41))</f>
        <v>6.1464809048021065E-4</v>
      </c>
      <c r="V45" s="1">
        <f t="shared" si="12"/>
        <v>1.6489321404802109E-3</v>
      </c>
      <c r="W45" s="1">
        <f>(荷重解析!H41+荷重解析!H42)/2*0.5*1.293*(荷重解析!C41^2+荷重解析!$B$1^2)*((C46+C45)/2)^2*0.01</f>
        <v>-3.7503832279697991E-4</v>
      </c>
      <c r="Y45" s="1">
        <f>IF(A45=プロパティ!$D$3,S45-プロパティ!$D$8,S45)</f>
        <v>1.68121281E-2</v>
      </c>
      <c r="Z45" s="1">
        <f>SUM(Y46:$Y$91)*(($A46+$A45)/2-$A45)+Z46</f>
        <v>1.217211735750001E-3</v>
      </c>
      <c r="AA45" s="1">
        <f>AB45*H45/1000/2*一般構造素材物性!$M$7/1000</f>
        <v>7.1948441137064496E-6</v>
      </c>
      <c r="AB45" s="1">
        <f t="shared" si="1"/>
        <v>1.5751172308218369E-4</v>
      </c>
      <c r="AC45" s="1">
        <f t="shared" si="13"/>
        <v>0.24434609527920614</v>
      </c>
      <c r="AD45" s="1">
        <f t="shared" si="14"/>
        <v>14</v>
      </c>
      <c r="AE45" s="1">
        <f t="shared" si="17"/>
        <v>9.2851516206098342E-2</v>
      </c>
      <c r="AF45" s="1">
        <f t="shared" si="2"/>
        <v>92.851516206098339</v>
      </c>
      <c r="AG45" s="1">
        <f t="shared" si="15"/>
        <v>45.479195665894011</v>
      </c>
      <c r="AH45" s="68">
        <f>-2/空力安定性!$G$36*SIN(AC45)^2*C45</f>
        <v>-9.2553066111546151E-2</v>
      </c>
      <c r="AI45" s="1">
        <f t="shared" si="16"/>
        <v>-4.2875006157696974E-2</v>
      </c>
      <c r="AJ45" s="1">
        <f>-2/空力安定性!$G$36/空力安定性!$G$47*A45*C45*SIN(AC45)</f>
        <v>-7.2689090491807135E-2</v>
      </c>
      <c r="AK45" s="1">
        <f>-4/空力安定性!$G$36/空力安定性!$G$47*A45*SIN(AC45)*COS(AC45)*C45</f>
        <v>-0.14105982770217926</v>
      </c>
      <c r="AL45" s="1">
        <f>-4/空力安定性!$G$36/空力安定性!$G$47^2*COS(AC45)*(A45*COS(AC45)+AE45*SIN(AC45))*C45</f>
        <v>-0.63469490363532222</v>
      </c>
      <c r="AM45" s="1">
        <f>-4/空力安定性!$G$36/空力安定性!$G$47^2*C45*COS(AC45)*A45^2</f>
        <v>-0.11078520692382865</v>
      </c>
      <c r="AN45" s="1">
        <f>4/空力安定性!$G$36/空力安定性!$G$47*2*A45*C45*SIN(AC45)</f>
        <v>0.29075636196722854</v>
      </c>
      <c r="AO45" s="1">
        <f>4/空力安定性!$G$36/空力安定性!$G$47^2*2*(A45*COS(AC45)+AE45*SIN(AC45))*C45*A45</f>
        <v>0.24856758290288361</v>
      </c>
      <c r="AP45" s="1">
        <f>8/空力安定性!$G$36/空力安定性!$G$47^2*A45^2*C45</f>
        <v>0.22835348837209302</v>
      </c>
      <c r="AR45" s="1">
        <f>Y45*プロパティ!D$13</f>
        <v>0.1008727686</v>
      </c>
      <c r="AS45" s="1">
        <f>V45*プロパティ!$D$13</f>
        <v>9.8935928428812644E-3</v>
      </c>
      <c r="AT45" s="1">
        <f>Z45*プロパティ!D$13</f>
        <v>7.3032704145000061E-3</v>
      </c>
      <c r="AU45" s="1">
        <f>SUM($AS46:AS$67)*(($A46+$A45)/2-$A45)+AU46</f>
        <v>9.7889185088543434E-4</v>
      </c>
      <c r="AV45" s="1">
        <f t="shared" si="3"/>
        <v>9.4507033849310226E-4</v>
      </c>
      <c r="AW45" s="1">
        <f t="shared" si="18"/>
        <v>5.7141105858240825E-3</v>
      </c>
      <c r="AX45" s="1">
        <f t="shared" si="19"/>
        <v>0.32739442023874632</v>
      </c>
      <c r="AY45" s="1">
        <f t="shared" si="20"/>
        <v>1.509016017116387E-3</v>
      </c>
    </row>
    <row r="46" spans="1:51">
      <c r="A46" s="1">
        <v>0.19500000000000001</v>
      </c>
      <c r="C46" s="1">
        <v>0.17</v>
      </c>
      <c r="E46" s="1">
        <f t="shared" si="4"/>
        <v>2.8900000000000006E-2</v>
      </c>
      <c r="F46" s="1">
        <f>$C$7*荷重解析!$D$1-C46*(荷重解析!$D$1-0.25)</f>
        <v>4.250000000000001E-2</v>
      </c>
      <c r="G46" s="1">
        <f t="shared" si="5"/>
        <v>7.2250000000000023E-3</v>
      </c>
      <c r="H46" s="1">
        <f t="shared" si="6"/>
        <v>10.150700000000001</v>
      </c>
      <c r="I46" s="1">
        <f t="shared" si="7"/>
        <v>7.7277532867500005</v>
      </c>
      <c r="J46" s="1">
        <f t="shared" si="8"/>
        <v>8.5000000000000006E-4</v>
      </c>
      <c r="K46" s="1">
        <f>C46*0.01*一般構造素材物性!$H$22*2</f>
        <v>3.5360000000000003E-2</v>
      </c>
      <c r="L46" s="1">
        <f>一般構造素材物性!$H$34*0.01*Lavender!H46/1000+一般構造素材物性!$H$20*0.005*0.01*2</f>
        <v>5.1579955555555557E-2</v>
      </c>
      <c r="M46" s="1">
        <f>一般構造素材物性!$H$19*0.01*0.015</f>
        <v>1.35E-2</v>
      </c>
      <c r="N46" s="1">
        <f t="shared" si="9"/>
        <v>1.35E-2</v>
      </c>
      <c r="O46" s="1">
        <f>IF(COUNTIF(Python読み込み用データ!$Q$4:$Q$13,Lavender!A46*1000),1,0)</f>
        <v>0</v>
      </c>
      <c r="P46" s="1">
        <f t="shared" si="10"/>
        <v>4.3325668100000003E-6</v>
      </c>
      <c r="Q46" s="1">
        <f t="shared" si="11"/>
        <v>3.6044646440000005E-7</v>
      </c>
      <c r="S46" s="1">
        <f>荷重解析!E42*0.01</f>
        <v>1.6376974500000002E-2</v>
      </c>
      <c r="T46" s="1">
        <f>(荷重解析!F42+荷重解析!F43)/2*0.01</f>
        <v>1.04308815E-3</v>
      </c>
      <c r="U46" s="1">
        <f>(荷重解析!G42+荷重解析!G43)/2*0.5*1.293*(荷重解析!C42^2+荷重解析!$B$1^2)*((C47+C46)/2)*0.01*COS(RADIANS(荷重解析!D42))</f>
        <v>6.3054306438660793E-4</v>
      </c>
      <c r="V46" s="1">
        <f t="shared" si="12"/>
        <v>1.6736312143866079E-3</v>
      </c>
      <c r="W46" s="1">
        <f>(荷重解析!H42+荷重解析!H43)/2*0.5*1.293*(荷重解析!C42^2+荷重解析!$B$1^2)*((C47+C46)/2)^2*0.01</f>
        <v>-3.7388077407991187E-4</v>
      </c>
      <c r="Y46" s="1">
        <f>IF(A46=プロパティ!$D$3,S46-プロパティ!$D$8,S46)</f>
        <v>1.6376974500000002E-2</v>
      </c>
      <c r="Z46" s="1">
        <f>SUM(Y47:$Y$91)*(($A47+$A46)/2-$A46)+Z47</f>
        <v>9.3118035925000083E-4</v>
      </c>
      <c r="AA46" s="1">
        <f>AB46*H46/1000/2*一般構造素材物性!$M$7/1000</f>
        <v>5.5041348434098198E-6</v>
      </c>
      <c r="AB46" s="1">
        <f t="shared" si="1"/>
        <v>1.2049819976093206E-4</v>
      </c>
      <c r="AC46" s="1">
        <f t="shared" si="13"/>
        <v>0.24434609527920614</v>
      </c>
      <c r="AD46" s="1">
        <f t="shared" si="14"/>
        <v>14</v>
      </c>
      <c r="AE46" s="1">
        <f t="shared" si="17"/>
        <v>9.5294977158890404E-2</v>
      </c>
      <c r="AF46" s="1">
        <f t="shared" si="2"/>
        <v>95.294977158890404</v>
      </c>
      <c r="AG46" s="1">
        <f t="shared" si="15"/>
        <v>46.676016604470171</v>
      </c>
      <c r="AH46" s="68">
        <f>-2/空力安定性!$G$36*SIN(AC46)^2*C46</f>
        <v>-9.2553066111546151E-2</v>
      </c>
      <c r="AI46" s="1">
        <f t="shared" si="16"/>
        <v>-4.4003295793425844E-2</v>
      </c>
      <c r="AJ46" s="1">
        <f>-2/空力安定性!$G$36/空力安定性!$G$47*A46*C46*SIN(AC46)</f>
        <v>-7.4601961294223113E-2</v>
      </c>
      <c r="AK46" s="1">
        <f>-4/空力安定性!$G$36/空力安定性!$G$47*A46*SIN(AC46)*COS(AC46)*C46</f>
        <v>-0.144771928431184</v>
      </c>
      <c r="AL46" s="1">
        <f>-4/空力安定性!$G$36/空力安定性!$G$47^2*COS(AC46)*(A46*COS(AC46)+AE46*SIN(AC46))*C46</f>
        <v>-0.65139740109940958</v>
      </c>
      <c r="AM46" s="1">
        <f>-4/空力安定性!$G$36/空力安定性!$G$47^2*C46*COS(AC46)*A46^2</f>
        <v>-0.11669272834566717</v>
      </c>
      <c r="AN46" s="1">
        <f>4/空力安定性!$G$36/空力安定性!$G$47*2*A46*C46*SIN(AC46)</f>
        <v>0.29840784517689245</v>
      </c>
      <c r="AO46" s="1">
        <f>4/空力安定性!$G$36/空力安定性!$G$47^2*2*(A46*COS(AC46)+AE46*SIN(AC46))*C46*A46</f>
        <v>0.26182222548150003</v>
      </c>
      <c r="AP46" s="1">
        <f>8/空力安定性!$G$36/空力安定性!$G$47^2*A46^2*C46</f>
        <v>0.24053023255813955</v>
      </c>
      <c r="AR46" s="1">
        <f>Y46*プロパティ!D$13</f>
        <v>9.8261847000000013E-2</v>
      </c>
      <c r="AS46" s="1">
        <f>V46*プロパティ!$D$13</f>
        <v>1.0041787286319648E-2</v>
      </c>
      <c r="AT46" s="1">
        <f>Z46*プロパティ!D$13</f>
        <v>5.5870821555000054E-3</v>
      </c>
      <c r="AU46" s="1">
        <f>SUM($AS47:AS$67)*(($A47+$A46)/2-$A46)+AU47</f>
        <v>7.6551419018637307E-4</v>
      </c>
      <c r="AV46" s="1">
        <f t="shared" si="3"/>
        <v>7.2298919856559241E-4</v>
      </c>
      <c r="AW46" s="1">
        <f t="shared" si="18"/>
        <v>5.7235612892090138E-3</v>
      </c>
      <c r="AX46" s="1">
        <f t="shared" si="19"/>
        <v>0.32793590565613284</v>
      </c>
      <c r="AY46" s="1">
        <f t="shared" si="20"/>
        <v>1.566157122974628E-3</v>
      </c>
    </row>
    <row r="47" spans="1:51">
      <c r="A47" s="1">
        <v>0.2</v>
      </c>
      <c r="C47" s="1">
        <v>0.17</v>
      </c>
      <c r="E47" s="1">
        <f t="shared" si="4"/>
        <v>2.8900000000000006E-2</v>
      </c>
      <c r="F47" s="1">
        <f>$C$7*荷重解析!$D$1-C47*(荷重解析!$D$1-0.25)</f>
        <v>4.250000000000001E-2</v>
      </c>
      <c r="G47" s="1">
        <f t="shared" si="5"/>
        <v>7.2250000000000023E-3</v>
      </c>
      <c r="H47" s="1">
        <f t="shared" si="6"/>
        <v>10.150700000000001</v>
      </c>
      <c r="I47" s="1">
        <f t="shared" si="7"/>
        <v>7.7277532867500005</v>
      </c>
      <c r="J47" s="1">
        <f t="shared" si="8"/>
        <v>8.5000000000000006E-4</v>
      </c>
      <c r="K47" s="1">
        <f>C47*0.01*一般構造素材物性!$H$22*2</f>
        <v>3.5360000000000003E-2</v>
      </c>
      <c r="L47" s="1">
        <f>一般構造素材物性!$H$34*0.01*Lavender!H47/1000+一般構造素材物性!$H$20*0.005*0.01*2</f>
        <v>5.1579955555555557E-2</v>
      </c>
      <c r="M47" s="1">
        <f>一般構造素材物性!$H$19*0.01*0.015</f>
        <v>1.35E-2</v>
      </c>
      <c r="N47" s="1">
        <f t="shared" si="9"/>
        <v>1.35E-2</v>
      </c>
      <c r="O47" s="1">
        <f>IF(COUNTIF(Python読み込み用データ!$Q$4:$Q$13,Lavender!A47*1000),1,0)</f>
        <v>1</v>
      </c>
      <c r="P47" s="1">
        <f t="shared" si="10"/>
        <v>4.4557598222222234E-5</v>
      </c>
      <c r="Q47" s="1">
        <f t="shared" si="11"/>
        <v>3.6044646440000005E-7</v>
      </c>
      <c r="S47" s="1">
        <f>荷重解析!E43*0.01</f>
        <v>1.5905352800000001E-2</v>
      </c>
      <c r="T47" s="1">
        <f>(荷重解析!F43+荷重解析!F44)/2*0.01</f>
        <v>1.053612E-3</v>
      </c>
      <c r="U47" s="1">
        <f>(荷重解析!G43+荷重解析!G44)/2*0.5*1.293*(荷重解析!C43^2+荷重解析!$B$1^2)*((C48+C47)/2)*0.01*COS(RADIANS(荷重解析!D43))</f>
        <v>6.4730604556859008E-4</v>
      </c>
      <c r="V47" s="1">
        <f t="shared" si="12"/>
        <v>1.7009180455685902E-3</v>
      </c>
      <c r="W47" s="1">
        <f>(荷重解析!H43+荷重解析!H44)/2*0.5*1.293*(荷重解析!C43^2+荷重解析!$B$1^2)*((C48+C47)/2)^2*0.01</f>
        <v>-3.7081555197057621E-4</v>
      </c>
      <c r="Y47" s="1">
        <f>IF(A47=プロパティ!$D$3,S47-プロパティ!$D$8,S47)</f>
        <v>1.5905352800000001E-2</v>
      </c>
      <c r="Z47" s="1">
        <f>SUM(Y48:$Y$91)*(($A48+$A47)/2-$A47)+Z48</f>
        <v>6.860914190000006E-4</v>
      </c>
      <c r="AA47" s="1">
        <f>AB47*H47/1000/2*一般構造素材物性!$M$7/1000</f>
        <v>4.0554331366309744E-6</v>
      </c>
      <c r="AB47" s="1">
        <f t="shared" si="1"/>
        <v>8.8782779876833337E-5</v>
      </c>
      <c r="AC47" s="1">
        <f t="shared" si="13"/>
        <v>0.24434609527920614</v>
      </c>
      <c r="AD47" s="1">
        <f t="shared" si="14"/>
        <v>14</v>
      </c>
      <c r="AE47" s="1">
        <f t="shared" si="17"/>
        <v>9.7738438111682466E-2</v>
      </c>
      <c r="AF47" s="1">
        <f t="shared" si="2"/>
        <v>97.73843811168247</v>
      </c>
      <c r="AG47" s="1">
        <f t="shared" si="15"/>
        <v>47.87283754304633</v>
      </c>
      <c r="AH47" s="68">
        <f>-2/空力安定性!$G$36*SIN(AC47)^2*C47</f>
        <v>-9.2553066111546151E-2</v>
      </c>
      <c r="AI47" s="1">
        <f t="shared" si="16"/>
        <v>-4.5131585429154707E-2</v>
      </c>
      <c r="AJ47" s="1">
        <f>-2/空力安定性!$G$36/空力安定性!$G$47*A47*C47*SIN(AC47)</f>
        <v>-7.651483209663909E-2</v>
      </c>
      <c r="AK47" s="1">
        <f>-4/空力安定性!$G$36/空力安定性!$G$47*A47*SIN(AC47)*COS(AC47)*C47</f>
        <v>-0.14848402916018871</v>
      </c>
      <c r="AL47" s="1">
        <f>-4/空力安定性!$G$36/空力安定性!$G$47^2*COS(AC47)*(A47*COS(AC47)+AE47*SIN(AC47))*C47</f>
        <v>-0.66809989856349705</v>
      </c>
      <c r="AM47" s="1">
        <f>-4/空力安定性!$G$36/空力安定性!$G$47^2*C47*COS(AC47)*A47^2</f>
        <v>-0.12275369188235864</v>
      </c>
      <c r="AN47" s="1">
        <f>4/空力安定性!$G$36/空力安定性!$G$47*2*A47*C47*SIN(AC47)</f>
        <v>0.30605932838655636</v>
      </c>
      <c r="AO47" s="1">
        <f>4/空力安定性!$G$36/空力安定性!$G$47^2*2*(A47*COS(AC47)+AE47*SIN(AC47))*C47*A47</f>
        <v>0.2754211444907298</v>
      </c>
      <c r="AP47" s="1">
        <f>8/空力安定性!$G$36/空力安定性!$G$47^2*A47^2*C47</f>
        <v>0.25302325581395352</v>
      </c>
      <c r="AR47" s="1">
        <f>Y47*プロパティ!D$13</f>
        <v>9.5432116800000008E-2</v>
      </c>
      <c r="AS47" s="1">
        <f>V47*プロパティ!$D$13</f>
        <v>1.0205508273411542E-2</v>
      </c>
      <c r="AT47" s="1">
        <f>Z47*プロパティ!D$13</f>
        <v>4.1165485140000034E-3</v>
      </c>
      <c r="AU47" s="1">
        <f>SUM($AS48:AS$67)*(($A48+$A47)/2-$A47)+AU48</f>
        <v>5.7724099770311091E-4</v>
      </c>
      <c r="AV47" s="1">
        <f t="shared" si="3"/>
        <v>5.3269667926100002E-4</v>
      </c>
      <c r="AW47" s="1">
        <f t="shared" si="18"/>
        <v>5.7307911811946693E-3</v>
      </c>
      <c r="AX47" s="1">
        <f t="shared" si="19"/>
        <v>0.32835014795324641</v>
      </c>
      <c r="AY47" s="1">
        <f t="shared" si="20"/>
        <v>1.623392735866718E-3</v>
      </c>
    </row>
    <row r="48" spans="1:51">
      <c r="A48" s="1">
        <v>0.20499999999999999</v>
      </c>
      <c r="C48" s="1">
        <v>0.17</v>
      </c>
      <c r="E48" s="1">
        <f t="shared" si="4"/>
        <v>2.8900000000000006E-2</v>
      </c>
      <c r="F48" s="1">
        <f>$C$7*荷重解析!$D$1-C48*(荷重解析!$D$1-0.25)</f>
        <v>4.250000000000001E-2</v>
      </c>
      <c r="G48" s="1">
        <f t="shared" si="5"/>
        <v>7.2250000000000023E-3</v>
      </c>
      <c r="H48" s="1">
        <f t="shared" si="6"/>
        <v>10.150700000000001</v>
      </c>
      <c r="I48" s="1">
        <f t="shared" si="7"/>
        <v>7.7277532867500005</v>
      </c>
      <c r="J48" s="1">
        <f t="shared" si="8"/>
        <v>8.5000000000000006E-4</v>
      </c>
      <c r="K48" s="1">
        <f>C48*0.01*一般構造素材物性!$H$22*2</f>
        <v>3.5360000000000003E-2</v>
      </c>
      <c r="L48" s="1">
        <f>一般構造素材物性!$H$34*0.01*Lavender!H48/1000+一般構造素材物性!$H$20*0.005*0.01*2</f>
        <v>5.1579955555555557E-2</v>
      </c>
      <c r="M48" s="1">
        <f>一般構造素材物性!$H$19*0.01*0.015</f>
        <v>1.35E-2</v>
      </c>
      <c r="N48" s="1">
        <f t="shared" si="9"/>
        <v>1.35E-2</v>
      </c>
      <c r="O48" s="1">
        <f>IF(COUNTIF(Python読み込み用データ!$Q$4:$Q$13,Lavender!A48*1000),1,0)</f>
        <v>0</v>
      </c>
      <c r="P48" s="1">
        <f t="shared" si="10"/>
        <v>4.7883266322222221E-6</v>
      </c>
      <c r="Q48" s="1">
        <f t="shared" si="11"/>
        <v>3.6044646440000005E-7</v>
      </c>
      <c r="S48" s="1">
        <f>荷重解析!E44*0.01</f>
        <v>1.53899146E-2</v>
      </c>
      <c r="T48" s="1">
        <f>(荷重解析!F44+荷重解析!F45)/2*0.01</f>
        <v>1.0657132000000001E-3</v>
      </c>
      <c r="U48" s="1">
        <f>(荷重解析!G44+荷重解析!G45)/2*0.5*1.293*(荷重解析!C44^2+荷重解析!$B$1^2)*((C49+C48)/2)*0.01*COS(RADIANS(荷重解析!D44))</f>
        <v>6.6577046835949387E-4</v>
      </c>
      <c r="V48" s="1">
        <f t="shared" si="12"/>
        <v>1.7314836683594939E-3</v>
      </c>
      <c r="W48" s="1">
        <f>(荷重解析!H44+荷重解析!H45)/2*0.5*1.293*(荷重解析!C44^2+荷重解析!$B$1^2)*((C49+C48)/2)^2*0.01</f>
        <v>-3.6412375798762644E-4</v>
      </c>
      <c r="Y48" s="1">
        <f>IF(A48=プロパティ!$D$3,S48-プロパティ!$D$8,S48)</f>
        <v>1.53899146E-2</v>
      </c>
      <c r="Z48" s="1">
        <f>SUM(Y49:$Y$91)*(($A49+$A48)/2-$A48)+Z49</f>
        <v>4.8076586075000043E-4</v>
      </c>
      <c r="AA48" s="1">
        <f>AB48*H48/1000/2*一般構造素材物性!$M$7/1000</f>
        <v>2.8417696951934377E-6</v>
      </c>
      <c r="AB48" s="1">
        <f t="shared" si="1"/>
        <v>6.2212889427295926E-5</v>
      </c>
      <c r="AC48" s="1">
        <f t="shared" si="13"/>
        <v>0.24434609527920614</v>
      </c>
      <c r="AD48" s="1">
        <f t="shared" si="14"/>
        <v>14</v>
      </c>
      <c r="AE48" s="1">
        <f t="shared" si="17"/>
        <v>0.10018189906447453</v>
      </c>
      <c r="AF48" s="1">
        <f t="shared" si="2"/>
        <v>100.18189906447452</v>
      </c>
      <c r="AG48" s="1">
        <f t="shared" si="15"/>
        <v>49.069658481622483</v>
      </c>
      <c r="AH48" s="68">
        <f>-2/空力安定性!$G$36*SIN(AC48)^2*C48</f>
        <v>-9.2553066111546151E-2</v>
      </c>
      <c r="AI48" s="1">
        <f t="shared" si="16"/>
        <v>-4.625987506488357E-2</v>
      </c>
      <c r="AJ48" s="1">
        <f>-2/空力安定性!$G$36/空力安定性!$G$47*A48*C48*SIN(AC48)</f>
        <v>-7.8427702899055055E-2</v>
      </c>
      <c r="AK48" s="1">
        <f>-4/空力安定性!$G$36/空力安定性!$G$47*A48*SIN(AC48)*COS(AC48)*C48</f>
        <v>-0.1521961298891934</v>
      </c>
      <c r="AL48" s="1">
        <f>-4/空力安定性!$G$36/空力安定性!$G$47^2*COS(AC48)*(A48*COS(AC48)+AE48*SIN(AC48))*C48</f>
        <v>-0.68480239602758453</v>
      </c>
      <c r="AM48" s="1">
        <f>-4/空力安定性!$G$36/空力安定性!$G$47^2*C48*COS(AC48)*A48^2</f>
        <v>-0.12896809753390301</v>
      </c>
      <c r="AN48" s="1">
        <f>4/空力安定性!$G$36/空力安定性!$G$47*2*A48*C48*SIN(AC48)</f>
        <v>0.31371081159622022</v>
      </c>
      <c r="AO48" s="1">
        <f>4/空力安定性!$G$36/空力安定性!$G$47^2*2*(A48*COS(AC48)+AE48*SIN(AC48))*C48*A48</f>
        <v>0.28936433993057298</v>
      </c>
      <c r="AP48" s="1">
        <f>8/空力安定性!$G$36/空力安定性!$G$47^2*A48^2*C48</f>
        <v>0.26583255813953482</v>
      </c>
      <c r="AR48" s="1">
        <f>Y48*プロパティ!D$13</f>
        <v>9.2339487600000006E-2</v>
      </c>
      <c r="AS48" s="1">
        <f>V48*プロパティ!$D$13</f>
        <v>1.0388902010156964E-2</v>
      </c>
      <c r="AT48" s="1">
        <f>Z48*プロパティ!D$13</f>
        <v>2.8845951645000024E-3</v>
      </c>
      <c r="AU48" s="1">
        <f>SUM($AS49:AS$67)*(($A49+$A48)/2-$A48)+AU49</f>
        <v>4.1448157590337763E-4</v>
      </c>
      <c r="AV48" s="1">
        <f t="shared" si="3"/>
        <v>3.7327733656377553E-4</v>
      </c>
      <c r="AW48" s="1">
        <f t="shared" si="18"/>
        <v>5.7361181479872797E-3</v>
      </c>
      <c r="AX48" s="1">
        <f t="shared" si="19"/>
        <v>0.32865536066806927</v>
      </c>
      <c r="AY48" s="1">
        <f t="shared" si="20"/>
        <v>1.6807006476786646E-3</v>
      </c>
    </row>
    <row r="49" spans="1:51">
      <c r="A49" s="1">
        <v>0.21</v>
      </c>
      <c r="C49" s="1">
        <v>0.17</v>
      </c>
      <c r="E49" s="1">
        <f t="shared" si="4"/>
        <v>2.8900000000000006E-2</v>
      </c>
      <c r="F49" s="1">
        <f>$C$7*荷重解析!$D$1-C49*(荷重解析!$D$1-0.25)</f>
        <v>4.250000000000001E-2</v>
      </c>
      <c r="G49" s="1">
        <f t="shared" si="5"/>
        <v>7.2250000000000023E-3</v>
      </c>
      <c r="H49" s="1">
        <f t="shared" si="6"/>
        <v>10.150700000000001</v>
      </c>
      <c r="I49" s="1">
        <f t="shared" si="7"/>
        <v>7.7277532867500005</v>
      </c>
      <c r="J49" s="1">
        <f t="shared" si="8"/>
        <v>8.5000000000000006E-4</v>
      </c>
      <c r="K49" s="1">
        <f>C49*0.01*一般構造素材物性!$H$22*2</f>
        <v>3.5360000000000003E-2</v>
      </c>
      <c r="L49" s="1">
        <f>一般構造素材物性!$H$34*0.01*Lavender!H49/1000+一般構造素材物性!$H$20*0.005*0.01*2</f>
        <v>5.1579955555555557E-2</v>
      </c>
      <c r="M49" s="1">
        <f>一般構造素材物性!$H$19*0.01*0.015</f>
        <v>1.35E-2</v>
      </c>
      <c r="N49" s="1">
        <f t="shared" si="9"/>
        <v>1.35E-2</v>
      </c>
      <c r="O49" s="1">
        <f>IF(COUNTIF(Python読み込み用データ!$Q$4:$Q$13,Lavender!A49*1000),1,0)</f>
        <v>0</v>
      </c>
      <c r="P49" s="1">
        <f t="shared" si="10"/>
        <v>5.0247520399999994E-6</v>
      </c>
      <c r="Q49" s="1">
        <f t="shared" si="11"/>
        <v>3.6044646440000005E-7</v>
      </c>
      <c r="S49" s="1">
        <f>荷重解析!E45*0.01</f>
        <v>1.4821225700000001E-2</v>
      </c>
      <c r="T49" s="1">
        <f>(荷重解析!F45+荷重解析!F46)/2*0.01</f>
        <v>1.0790544E-3</v>
      </c>
      <c r="U49" s="1">
        <f>(荷重解析!G45+荷重解析!G46)/2*0.5*1.293*(荷重解析!C45^2+荷重解析!$B$1^2)*((C50+C49)/2)*0.01*COS(RADIANS(荷重解析!D45))</f>
        <v>6.8813096996962178E-4</v>
      </c>
      <c r="V49" s="1">
        <f t="shared" si="12"/>
        <v>1.7671853699696219E-3</v>
      </c>
      <c r="W49" s="1">
        <f>(荷重解析!H45+荷重解析!H46)/2*0.5*1.293*(荷重解析!C45^2+荷重解析!$B$1^2)*((C50+C49)/2)^2*0.01</f>
        <v>-3.5636951528288379E-4</v>
      </c>
      <c r="Y49" s="1">
        <f>IF(A49=プロパティ!$D$3,S49-プロパティ!$D$8,S49)</f>
        <v>1.4821225700000001E-2</v>
      </c>
      <c r="Z49" s="1">
        <f>SUM(Y50:$Y$91)*(($A50+$A49)/2-$A49)+Z50</f>
        <v>3.139150890000003E-4</v>
      </c>
      <c r="AA49" s="1">
        <f>AB49*H49/1000/2*一般構造素材物性!$M$7/1000</f>
        <v>1.8555277310924386E-6</v>
      </c>
      <c r="AB49" s="1">
        <f t="shared" si="1"/>
        <v>4.0621779364804365E-5</v>
      </c>
      <c r="AC49" s="1">
        <f t="shared" si="13"/>
        <v>0.24434609527920614</v>
      </c>
      <c r="AD49" s="1">
        <f t="shared" si="14"/>
        <v>14</v>
      </c>
      <c r="AE49" s="1">
        <f t="shared" si="17"/>
        <v>0.10262536001726659</v>
      </c>
      <c r="AF49" s="1">
        <f t="shared" si="2"/>
        <v>102.62536001726659</v>
      </c>
      <c r="AG49" s="1">
        <f t="shared" si="15"/>
        <v>50.26647942019865</v>
      </c>
      <c r="AH49" s="68">
        <f>-2/空力安定性!$G$36*SIN(AC49)^2*C49</f>
        <v>-9.2553066111546151E-2</v>
      </c>
      <c r="AI49" s="1">
        <f t="shared" si="16"/>
        <v>-4.738816470061244E-2</v>
      </c>
      <c r="AJ49" s="1">
        <f>-2/空力安定性!$G$36/空力安定性!$G$47*A49*C49*SIN(AC49)</f>
        <v>-8.0340573701471046E-2</v>
      </c>
      <c r="AK49" s="1">
        <f>-4/空力安定性!$G$36/空力安定性!$G$47*A49*SIN(AC49)*COS(AC49)*C49</f>
        <v>-0.15590823061819814</v>
      </c>
      <c r="AL49" s="1">
        <f>-4/空力安定性!$G$36/空力安定性!$G$47^2*COS(AC49)*(A49*COS(AC49)+AE49*SIN(AC49))*C49</f>
        <v>-0.70150489349167189</v>
      </c>
      <c r="AM49" s="1">
        <f>-4/空力安定性!$G$36/空力安定性!$G$47^2*C49*COS(AC49)*A49^2</f>
        <v>-0.13533594530030035</v>
      </c>
      <c r="AN49" s="1">
        <f>4/空力安定性!$G$36/空力安定性!$G$47*2*A49*C49*SIN(AC49)</f>
        <v>0.32136229480588419</v>
      </c>
      <c r="AO49" s="1">
        <f>4/空力安定性!$G$36/空力安定性!$G$47^2*2*(A49*COS(AC49)+AE49*SIN(AC49))*C49*A49</f>
        <v>0.30365181180102963</v>
      </c>
      <c r="AP49" s="1">
        <f>8/空力安定性!$G$36/空力安定性!$G$47^2*A49^2*C49</f>
        <v>0.27895813953488363</v>
      </c>
      <c r="AR49" s="1">
        <f>Y49*プロパティ!D$13</f>
        <v>8.8927354200000003E-2</v>
      </c>
      <c r="AS49" s="1">
        <f>V49*プロパティ!$D$13</f>
        <v>1.0603112219817731E-2</v>
      </c>
      <c r="AT49" s="1">
        <f>Z49*プロパティ!D$13</f>
        <v>1.8834905340000018E-3</v>
      </c>
      <c r="AU49" s="1">
        <f>SUM($AS50:AS$67)*(($A50+$A49)/2-$A49)+AU50</f>
        <v>2.7769440912903679E-4</v>
      </c>
      <c r="AV49" s="1">
        <f t="shared" si="3"/>
        <v>2.437306761888262E-4</v>
      </c>
      <c r="AW49" s="1">
        <f t="shared" si="18"/>
        <v>5.739850921352917E-3</v>
      </c>
      <c r="AX49" s="1">
        <f t="shared" si="19"/>
        <v>0.32886923282779917</v>
      </c>
      <c r="AY49" s="1">
        <f t="shared" si="20"/>
        <v>1.7380618291585373E-3</v>
      </c>
    </row>
    <row r="50" spans="1:51">
      <c r="A50" s="1">
        <v>0.215</v>
      </c>
      <c r="C50" s="1">
        <v>0.17</v>
      </c>
      <c r="E50" s="1">
        <f t="shared" si="4"/>
        <v>2.8900000000000006E-2</v>
      </c>
      <c r="F50" s="1">
        <f>$C$7*荷重解析!$D$1-C50*(荷重解析!$D$1-0.25)</f>
        <v>4.250000000000001E-2</v>
      </c>
      <c r="G50" s="1">
        <f t="shared" si="5"/>
        <v>7.2250000000000023E-3</v>
      </c>
      <c r="H50" s="1">
        <f t="shared" si="6"/>
        <v>10.150700000000001</v>
      </c>
      <c r="I50" s="1">
        <f t="shared" si="7"/>
        <v>7.7277532867500005</v>
      </c>
      <c r="J50" s="1">
        <f t="shared" si="8"/>
        <v>8.5000000000000006E-4</v>
      </c>
      <c r="K50" s="1">
        <f>C50*0.01*一般構造素材物性!$H$22*2</f>
        <v>3.5360000000000003E-2</v>
      </c>
      <c r="L50" s="1">
        <f>一般構造素材物性!$H$34*0.01*Lavender!H50/1000+一般構造素材物性!$H$20*0.005*0.01*2</f>
        <v>5.1579955555555557E-2</v>
      </c>
      <c r="M50" s="1">
        <f>一般構造素材物性!$H$19*0.01*0.015</f>
        <v>1.35E-2</v>
      </c>
      <c r="N50" s="1">
        <f t="shared" si="9"/>
        <v>1.35E-2</v>
      </c>
      <c r="O50" s="1">
        <f>IF(COUNTIF(Python読み込み用データ!$Q$4:$Q$13,Lavender!A50*1000),1,0)</f>
        <v>0</v>
      </c>
      <c r="P50" s="1">
        <f t="shared" si="10"/>
        <v>5.2668744455555552E-6</v>
      </c>
      <c r="Q50" s="1">
        <f t="shared" si="11"/>
        <v>3.6044646440000005E-7</v>
      </c>
      <c r="S50" s="1">
        <f>荷重解析!E46*0.01</f>
        <v>1.4185683099999999E-2</v>
      </c>
      <c r="T50" s="1">
        <f>(荷重解析!F46+荷重解析!F47)/2*0.01</f>
        <v>1.08952625E-3</v>
      </c>
      <c r="U50" s="1">
        <f>(荷重解析!G46+荷重解析!G47)/2*0.5*1.293*(荷重解析!C46^2+荷重解析!$B$1^2)*((C51+C50)/2)*0.01*COS(RADIANS(荷重解析!D46))</f>
        <v>7.1043722502731315E-4</v>
      </c>
      <c r="V50" s="1">
        <f t="shared" si="12"/>
        <v>1.7999634750273132E-3</v>
      </c>
      <c r="W50" s="1">
        <f>(荷重解析!H46+荷重解析!H47)/2*0.5*1.293*(荷重解析!C46^2+荷重解析!$B$1^2)*((C51+C50)/2)^2*0.01</f>
        <v>-3.4011252806268429E-4</v>
      </c>
      <c r="Y50" s="1">
        <f>IF(A50=プロパティ!$D$3,S50-プロパティ!$D$8,S50)</f>
        <v>1.4185683099999999E-2</v>
      </c>
      <c r="Z50" s="1">
        <f>SUM(Y51:$Y$91)*(($A51+$A50)/2-$A50)+Z51</f>
        <v>1.8411738150000016E-4</v>
      </c>
      <c r="AA50" s="1">
        <f>AB50*H50/1000/2*一般構造素材物性!$M$7/1000</f>
        <v>1.0883035544346706E-6</v>
      </c>
      <c r="AB50" s="1">
        <f t="shared" si="1"/>
        <v>2.3825473545550123E-5</v>
      </c>
      <c r="AC50" s="1">
        <f t="shared" si="13"/>
        <v>0.24434609527920614</v>
      </c>
      <c r="AD50" s="1">
        <f t="shared" si="14"/>
        <v>14</v>
      </c>
      <c r="AE50" s="1">
        <f t="shared" si="17"/>
        <v>0.10506882097005865</v>
      </c>
      <c r="AF50" s="1">
        <f t="shared" si="2"/>
        <v>105.06882097005865</v>
      </c>
      <c r="AG50" s="1">
        <f t="shared" si="15"/>
        <v>51.463300358774809</v>
      </c>
      <c r="AH50" s="68">
        <f>-2/空力安定性!$G$36*SIN(AC50)^2*C50</f>
        <v>-9.2553066111546151E-2</v>
      </c>
      <c r="AI50" s="1">
        <f t="shared" si="16"/>
        <v>-4.8516454336341303E-2</v>
      </c>
      <c r="AJ50" s="1">
        <f>-2/空力安定性!$G$36/空力安定性!$G$47*A50*C50*SIN(AC50)</f>
        <v>-8.2253444503887024E-2</v>
      </c>
      <c r="AK50" s="1">
        <f>-4/空力安定性!$G$36/空力安定性!$G$47*A50*SIN(AC50)*COS(AC50)*C50</f>
        <v>-0.15962033134720285</v>
      </c>
      <c r="AL50" s="1">
        <f>-4/空力安定性!$G$36/空力安定性!$G$47^2*COS(AC50)*(A50*COS(AC50)+AE50*SIN(AC50))*C50</f>
        <v>-0.71820739095575925</v>
      </c>
      <c r="AM50" s="1">
        <f>-4/空力安定性!$G$36/空力安定性!$G$47^2*C50*COS(AC50)*A50^2</f>
        <v>-0.14185723518155066</v>
      </c>
      <c r="AN50" s="1">
        <f>4/空力安定性!$G$36/空力安定性!$G$47*2*A50*C50*SIN(AC50)</f>
        <v>0.3290137780155481</v>
      </c>
      <c r="AO50" s="1">
        <f>4/空力安定性!$G$36/空力安定性!$G$47^2*2*(A50*COS(AC50)+AE50*SIN(AC50))*C50*A50</f>
        <v>0.31828356010209952</v>
      </c>
      <c r="AP50" s="1">
        <f>8/空力安定性!$G$36/空力安定性!$G$47^2*A50^2*C50</f>
        <v>0.29239999999999994</v>
      </c>
      <c r="AR50" s="1">
        <f>Y50*プロパティ!D$13</f>
        <v>8.5114098599999993E-2</v>
      </c>
      <c r="AS50" s="1">
        <f>V50*プロパティ!$D$13</f>
        <v>1.0799780850163879E-2</v>
      </c>
      <c r="AT50" s="1">
        <f>Z50*プロパティ!D$13</f>
        <v>1.104704289000001E-3</v>
      </c>
      <c r="AU50" s="1">
        <f>SUM($AS51:AS$67)*(($A51+$A50)/2-$A50)+AU51</f>
        <v>1.6741502290424029E-4</v>
      </c>
      <c r="AV50" s="1">
        <f t="shared" si="3"/>
        <v>1.4295284127330076E-4</v>
      </c>
      <c r="AW50" s="1">
        <f t="shared" si="18"/>
        <v>5.7422882281148056E-3</v>
      </c>
      <c r="AX50" s="1">
        <f t="shared" si="19"/>
        <v>0.32900888021863406</v>
      </c>
      <c r="AY50" s="1">
        <f t="shared" si="20"/>
        <v>1.7954603383720665E-3</v>
      </c>
    </row>
    <row r="51" spans="1:51">
      <c r="A51" s="1">
        <v>0.22</v>
      </c>
      <c r="C51" s="1">
        <v>0.17</v>
      </c>
      <c r="E51" s="1">
        <f t="shared" si="4"/>
        <v>2.8900000000000006E-2</v>
      </c>
      <c r="F51" s="1">
        <f>$C$7*荷重解析!$D$1-C51*(荷重解析!$D$1-0.25)</f>
        <v>4.250000000000001E-2</v>
      </c>
      <c r="G51" s="1">
        <f t="shared" si="5"/>
        <v>7.2250000000000023E-3</v>
      </c>
      <c r="H51" s="1">
        <f t="shared" si="6"/>
        <v>10.150700000000001</v>
      </c>
      <c r="I51" s="1">
        <f t="shared" si="7"/>
        <v>7.7277532867500005</v>
      </c>
      <c r="J51" s="1">
        <f t="shared" si="8"/>
        <v>8.5000000000000006E-4</v>
      </c>
      <c r="K51" s="1">
        <f>C51*0.01*一般構造素材物性!$H$22*2</f>
        <v>3.5360000000000003E-2</v>
      </c>
      <c r="L51" s="1">
        <f>一般構造素材物性!$H$34*0.01*Lavender!H51/1000+一般構造素材物性!$H$20*0.005*0.01*2</f>
        <v>5.1579955555555557E-2</v>
      </c>
      <c r="M51" s="1">
        <f>一般構造素材物性!$H$19*0.01*0.015</f>
        <v>1.35E-2</v>
      </c>
      <c r="N51" s="1">
        <f t="shared" si="9"/>
        <v>1.35E-2</v>
      </c>
      <c r="O51" s="1">
        <f>IF(COUNTIF(Python読み込み用データ!$Q$4:$Q$13,Lavender!A51*1000),1,0)</f>
        <v>0</v>
      </c>
      <c r="P51" s="1">
        <f t="shared" si="10"/>
        <v>5.5146938488888887E-6</v>
      </c>
      <c r="Q51" s="1">
        <f t="shared" si="11"/>
        <v>3.6044646440000005E-7</v>
      </c>
      <c r="S51" s="1">
        <f>荷重解析!E47*0.01</f>
        <v>1.34628039E-2</v>
      </c>
      <c r="T51" s="1">
        <f>(荷重解析!F47+荷重解析!F48)/2*0.01</f>
        <v>1.0938421000000001E-3</v>
      </c>
      <c r="U51" s="1">
        <f>(荷重解析!G47+荷重解析!G48)/2*0.5*1.293*(荷重解析!C47^2+荷重解析!$B$1^2)*((C52+C51)/2)*0.01*COS(RADIANS(荷重解析!D47))</f>
        <v>7.3013285125166658E-4</v>
      </c>
      <c r="V51" s="1">
        <f t="shared" si="12"/>
        <v>1.8239749512516668E-3</v>
      </c>
      <c r="W51" s="1">
        <f>(荷重解析!H47+荷重解析!H48)/2*0.5*1.293*(荷重解析!C47^2+荷重解析!$B$1^2)*((C52+C51)/2)^2*0.01</f>
        <v>-3.0942382452524037E-4</v>
      </c>
      <c r="Y51" s="1">
        <f>IF(A51=プロパティ!$D$3,S51-プロパティ!$D$8,S51)</f>
        <v>1.34628039E-2</v>
      </c>
      <c r="Z51" s="1">
        <f>SUM(Y52:$Y$91)*(($A52+$A51)/2-$A51)+Z52</f>
        <v>8.9783881750000072E-5</v>
      </c>
      <c r="AA51" s="1">
        <f>AB51*H51/1000/2*一般構造素材物性!$M$7/1000</f>
        <v>5.3070555774478643E-7</v>
      </c>
      <c r="AB51" s="1">
        <f t="shared" si="1"/>
        <v>1.1618368032522912E-5</v>
      </c>
      <c r="AC51" s="1">
        <f t="shared" si="13"/>
        <v>0.24434609527920614</v>
      </c>
      <c r="AD51" s="1">
        <f t="shared" si="14"/>
        <v>14</v>
      </c>
      <c r="AE51" s="1">
        <f t="shared" si="17"/>
        <v>0.10751228192285071</v>
      </c>
      <c r="AF51" s="1">
        <f t="shared" si="2"/>
        <v>107.51228192285072</v>
      </c>
      <c r="AG51" s="1">
        <f t="shared" si="15"/>
        <v>52.660121297350962</v>
      </c>
      <c r="AH51" s="68">
        <f>-2/空力安定性!$G$36*SIN(AC51)^2*C51</f>
        <v>-9.2553066111546151E-2</v>
      </c>
      <c r="AI51" s="1">
        <f t="shared" si="16"/>
        <v>-4.9644743972070172E-2</v>
      </c>
      <c r="AJ51" s="1">
        <f>-2/空力安定性!$G$36/空力安定性!$G$47*A51*C51*SIN(AC51)</f>
        <v>-8.4166315306303002E-2</v>
      </c>
      <c r="AK51" s="1">
        <f>-4/空力安定性!$G$36/空力安定性!$G$47*A51*SIN(AC51)*COS(AC51)*C51</f>
        <v>-0.16333243207620757</v>
      </c>
      <c r="AL51" s="1">
        <f>-4/空力安定性!$G$36/空力安定性!$G$47^2*COS(AC51)*(A51*COS(AC51)+AE51*SIN(AC51))*C51</f>
        <v>-0.73490988841984672</v>
      </c>
      <c r="AM51" s="1">
        <f>-4/空力安定性!$G$36/空力安定性!$G$47^2*C51*COS(AC51)*A51^2</f>
        <v>-0.14853196717765393</v>
      </c>
      <c r="AN51" s="1">
        <f>4/空力安定性!$G$36/空力安定性!$G$47*2*A51*C51*SIN(AC51)</f>
        <v>0.33666526122521201</v>
      </c>
      <c r="AO51" s="1">
        <f>4/空力安定性!$G$36/空力安定性!$G$47^2*2*(A51*COS(AC51)+AE51*SIN(AC51))*C51*A51</f>
        <v>0.33325958483378298</v>
      </c>
      <c r="AP51" s="1">
        <f>8/空力安定性!$G$36/空力安定性!$G$47^2*A51^2*C51</f>
        <v>0.30615813953488369</v>
      </c>
      <c r="AR51" s="1">
        <f>Y51*プロパティ!D$13</f>
        <v>8.0776823400000003E-2</v>
      </c>
      <c r="AS51" s="1">
        <f>V51*プロパティ!$D$13</f>
        <v>1.0943849707510001E-2</v>
      </c>
      <c r="AT51" s="1">
        <f>Z51*プロパティ!D$13</f>
        <v>5.3870329050000043E-4</v>
      </c>
      <c r="AU51" s="1">
        <f>SUM($AS52:AS$67)*(($A52+$A51)/2-$A51)+AU52</f>
        <v>8.4135088804853519E-5</v>
      </c>
      <c r="AV51" s="1">
        <f t="shared" si="3"/>
        <v>6.9710208195137476E-5</v>
      </c>
      <c r="AW51" s="1">
        <f t="shared" si="18"/>
        <v>5.7437177565275383E-3</v>
      </c>
      <c r="AX51" s="1">
        <f t="shared" si="19"/>
        <v>0.32909078616337767</v>
      </c>
      <c r="AY51" s="1">
        <f t="shared" si="20"/>
        <v>1.8528832206532145E-3</v>
      </c>
    </row>
    <row r="52" spans="1:51">
      <c r="A52" s="1">
        <v>0.22500000000000001</v>
      </c>
      <c r="C52" s="1">
        <v>0.17</v>
      </c>
      <c r="E52" s="1">
        <f t="shared" si="4"/>
        <v>2.8900000000000006E-2</v>
      </c>
      <c r="F52" s="1">
        <f>$C$7*荷重解析!$D$1-C52*(荷重解析!$D$1-0.25)</f>
        <v>4.250000000000001E-2</v>
      </c>
      <c r="G52" s="1">
        <f t="shared" si="5"/>
        <v>7.2250000000000023E-3</v>
      </c>
      <c r="H52" s="1">
        <f t="shared" si="6"/>
        <v>10.150700000000001</v>
      </c>
      <c r="I52" s="1">
        <f t="shared" si="7"/>
        <v>7.7277532867500005</v>
      </c>
      <c r="J52" s="1">
        <f t="shared" si="8"/>
        <v>8.5000000000000006E-4</v>
      </c>
      <c r="K52" s="1">
        <f>C52*0.01*一般構造素材物性!$H$22*2</f>
        <v>3.5360000000000003E-2</v>
      </c>
      <c r="L52" s="1">
        <f>一般構造素材物性!$H$34*0.01*Lavender!H52/1000+一般構造素材物性!$H$20*0.005*0.01*2</f>
        <v>5.1579955555555557E-2</v>
      </c>
      <c r="M52" s="1">
        <f>一般構造素材物性!$H$19*0.01*0.015</f>
        <v>1.35E-2</v>
      </c>
      <c r="N52" s="1">
        <f t="shared" si="9"/>
        <v>1.35E-2</v>
      </c>
      <c r="O52" s="1">
        <f>IF(COUNTIF(Python読み込み用データ!$Q$4:$Q$13,Lavender!A52*1000),1,0)</f>
        <v>0</v>
      </c>
      <c r="P52" s="1">
        <f t="shared" si="10"/>
        <v>5.7682102500000006E-6</v>
      </c>
      <c r="Q52" s="1">
        <f t="shared" si="11"/>
        <v>3.6044646440000005E-7</v>
      </c>
      <c r="S52" s="1">
        <f>荷重解析!E48*0.01</f>
        <v>1.26276393E-2</v>
      </c>
      <c r="T52" s="1">
        <f>(荷重解析!F48+荷重解析!F49)/2*0.01</f>
        <v>1.09404805E-3</v>
      </c>
      <c r="U52" s="1">
        <f>(荷重解析!G48+荷重解析!G49)/2*0.5*1.293*(荷重解析!C48^2+荷重解析!$B$1^2)*((C53+C52)/2)*0.01*COS(RADIANS(荷重解析!D48))</f>
        <v>7.5298734042466534E-4</v>
      </c>
      <c r="V52" s="1">
        <f t="shared" si="12"/>
        <v>1.8470353904246654E-3</v>
      </c>
      <c r="W52" s="1">
        <f>(荷重解析!H48+荷重解析!H49)/2*0.5*1.293*(荷重解析!C48^2+荷重解析!$B$1^2)*((C53+C52)/2)^2*0.01</f>
        <v>-2.5964289563036862E-4</v>
      </c>
      <c r="Y52" s="1">
        <f>IF(A52=プロパティ!$D$3,S52-プロパティ!$D$8,S52)</f>
        <v>1.26276393E-2</v>
      </c>
      <c r="Z52" s="1">
        <f>SUM(Y53:$Y$91)*(($A53+$A52)/2-$A52)+Z53</f>
        <v>2.9107391750000025E-5</v>
      </c>
      <c r="AA52" s="1">
        <f>AB52*H52/1000/2*一般構造素材物性!$M$7/1000</f>
        <v>1.7205153388436281E-7</v>
      </c>
      <c r="AB52" s="1">
        <f t="shared" si="1"/>
        <v>3.7666046870191284E-6</v>
      </c>
      <c r="AC52" s="1">
        <f t="shared" si="13"/>
        <v>0.24434609527920614</v>
      </c>
      <c r="AD52" s="1">
        <f t="shared" si="14"/>
        <v>14</v>
      </c>
      <c r="AE52" s="1">
        <f t="shared" si="17"/>
        <v>0.10995574287564278</v>
      </c>
      <c r="AF52" s="1">
        <f t="shared" si="2"/>
        <v>109.95574287564277</v>
      </c>
      <c r="AG52" s="1">
        <f t="shared" si="15"/>
        <v>53.856942235927114</v>
      </c>
      <c r="AH52" s="68">
        <f>-2/空力安定性!$G$36*SIN(AC52)^2*C52</f>
        <v>-9.2553066111546151E-2</v>
      </c>
      <c r="AI52" s="1">
        <f t="shared" si="16"/>
        <v>-5.0773033607799042E-2</v>
      </c>
      <c r="AJ52" s="1">
        <f>-2/空力安定性!$G$36/空力安定性!$G$47*A52*C52*SIN(AC52)</f>
        <v>-8.607918610871898E-2</v>
      </c>
      <c r="AK52" s="1">
        <f>-4/空力安定性!$G$36/空力安定性!$G$47*A52*SIN(AC52)*COS(AC52)*C52</f>
        <v>-0.16704453280521231</v>
      </c>
      <c r="AL52" s="1">
        <f>-4/空力安定性!$G$36/空力安定性!$G$47^2*COS(AC52)*(A52*COS(AC52)+AE52*SIN(AC52))*C52</f>
        <v>-0.75161238588393409</v>
      </c>
      <c r="AM52" s="1">
        <f>-4/空力安定性!$G$36/空力安定性!$G$47^2*C52*COS(AC52)*A52^2</f>
        <v>-0.15536014128861014</v>
      </c>
      <c r="AN52" s="1">
        <f>4/空力安定性!$G$36/空力安定性!$G$47*2*A52*C52*SIN(AC52)</f>
        <v>0.34431674443487592</v>
      </c>
      <c r="AO52" s="1">
        <f>4/空力安定性!$G$36/空力安定性!$G$47^2*2*(A52*COS(AC52)+AE52*SIN(AC52))*C52*A52</f>
        <v>0.34857988599607986</v>
      </c>
      <c r="AP52" s="1">
        <f>8/空力安定性!$G$36/空力安定性!$G$47^2*A52^2*C52</f>
        <v>0.32023255813953488</v>
      </c>
      <c r="AR52" s="1">
        <f>Y52*プロパティ!D$13</f>
        <v>7.57658358E-2</v>
      </c>
      <c r="AS52" s="1">
        <f>V52*プロパティ!$D$13</f>
        <v>1.1082212342547993E-2</v>
      </c>
      <c r="AT52" s="1">
        <f>Z52*プロパティ!D$13</f>
        <v>1.7464435050000015E-4</v>
      </c>
      <c r="AU52" s="1">
        <f>SUM($AS53:AS$67)*(($A53+$A52)/2-$A52)+AU53</f>
        <v>2.8214778974241754E-5</v>
      </c>
      <c r="AV52" s="1">
        <f t="shared" si="3"/>
        <v>2.2599628122114768E-5</v>
      </c>
      <c r="AW52" s="1">
        <f t="shared" si="18"/>
        <v>5.7444148586094897E-3</v>
      </c>
      <c r="AX52" s="1">
        <f t="shared" si="19"/>
        <v>0.3291307271705633</v>
      </c>
      <c r="AY52" s="1">
        <f t="shared" si="20"/>
        <v>1.9103203982184899E-3</v>
      </c>
    </row>
    <row r="53" spans="1:51">
      <c r="A53" s="1">
        <v>0.23</v>
      </c>
      <c r="C53" s="1">
        <v>0.17</v>
      </c>
      <c r="E53" s="1">
        <f t="shared" si="4"/>
        <v>2.8900000000000006E-2</v>
      </c>
      <c r="F53" s="1">
        <f>$C$7*荷重解析!$D$1-C53*(荷重解析!$D$1-0.25)</f>
        <v>4.250000000000001E-2</v>
      </c>
      <c r="G53" s="1">
        <f t="shared" si="5"/>
        <v>7.2250000000000023E-3</v>
      </c>
      <c r="H53" s="1">
        <f t="shared" si="6"/>
        <v>10.150700000000001</v>
      </c>
      <c r="I53" s="1">
        <f t="shared" si="7"/>
        <v>7.7277532867500005</v>
      </c>
      <c r="J53" s="1">
        <f t="shared" si="8"/>
        <v>8.5000000000000006E-4</v>
      </c>
      <c r="K53" s="1">
        <f>C53*0.01*一般構造素材物性!$H$22*2</f>
        <v>3.5360000000000003E-2</v>
      </c>
      <c r="L53" s="1">
        <f>一般構造素材物性!$H$34*0.01*Lavender!H53/1000+一般構造素材物性!$H$20*0.005*0.01*2</f>
        <v>5.1579955555555557E-2</v>
      </c>
      <c r="M53" s="1">
        <f>一般構造素材物性!$H$19*0.01*0.015</f>
        <v>1.35E-2</v>
      </c>
      <c r="N53" s="1">
        <f t="shared" si="9"/>
        <v>1.35E-2</v>
      </c>
      <c r="O53" s="1">
        <f>IF(COUNTIF(Python読み込み用データ!$Q$4:$Q$13,Lavender!A53*1000),1,0)</f>
        <v>0</v>
      </c>
      <c r="P53" s="1">
        <f t="shared" si="10"/>
        <v>6.0274236488888894E-6</v>
      </c>
      <c r="Q53" s="1">
        <f t="shared" si="11"/>
        <v>3.6044646440000005E-7</v>
      </c>
      <c r="S53" s="1">
        <f>荷重解析!E49*0.01</f>
        <v>1.16429567E-2</v>
      </c>
      <c r="T53" s="1">
        <f>(荷重解析!F49+荷重解析!F50)/2*0.01</f>
        <v>1.0880963500000001E-3</v>
      </c>
      <c r="U53" s="1">
        <f>(荷重解析!G49+荷重解析!G50)/2*0.5*1.293*(荷重解析!C49^2+荷重解析!$B$1^2)*((C54+C53)/2)*0.01*COS(RADIANS(荷重解析!D49))</f>
        <v>7.9288891494944851E-4</v>
      </c>
      <c r="V53" s="1">
        <f t="shared" si="12"/>
        <v>1.8809852649494486E-3</v>
      </c>
      <c r="W53" s="1">
        <f>(荷重解析!H49+荷重解析!H50)/2*0.5*1.293*(荷重解析!C49^2+荷重解析!$B$1^2)*((C54+C53)/2)^2*0.01</f>
        <v>-1.8726785142295828E-4</v>
      </c>
      <c r="Y53" s="1">
        <f>IF(A53=プロパティ!$D$3,S53-プロパティ!$D$8,S53)</f>
        <v>1.16429567E-2</v>
      </c>
      <c r="Z53" s="1">
        <f>SUM(Y54:$Y$91)*(($A54+$A53)/2-$A53)+Z54</f>
        <v>0</v>
      </c>
      <c r="AA53" s="1">
        <f>AB53*H53/1000/2*一般構造素材物性!$M$7/1000</f>
        <v>0</v>
      </c>
      <c r="AB53" s="1">
        <f t="shared" si="1"/>
        <v>0</v>
      </c>
      <c r="AC53" s="1">
        <f t="shared" si="13"/>
        <v>0.24434609527920614</v>
      </c>
      <c r="AD53" s="1">
        <f t="shared" si="14"/>
        <v>14</v>
      </c>
      <c r="AE53" s="1">
        <f t="shared" si="17"/>
        <v>0.11239920382843484</v>
      </c>
      <c r="AF53" s="1">
        <f t="shared" si="2"/>
        <v>112.39920382843484</v>
      </c>
      <c r="AG53" s="1">
        <f t="shared" si="15"/>
        <v>55.053763174503274</v>
      </c>
      <c r="AH53" s="68">
        <f>-2/空力安定性!$G$36*SIN(AC53)^2*C53</f>
        <v>-9.2553066111546151E-2</v>
      </c>
      <c r="AI53" s="1">
        <f t="shared" si="16"/>
        <v>-5.1901323243527912E-2</v>
      </c>
      <c r="AJ53" s="1">
        <f>-2/空力安定性!$G$36/空力安定性!$G$47*A53*C53*SIN(AC53)</f>
        <v>-8.7992056911134958E-2</v>
      </c>
      <c r="AK53" s="1">
        <f>-4/空力安定性!$G$36/空力安定性!$G$47*A53*SIN(AC53)*COS(AC53)*C53</f>
        <v>-0.17075663353421705</v>
      </c>
      <c r="AL53" s="1">
        <f>-4/空力安定性!$G$36/空力安定性!$G$47^2*COS(AC53)*(A53*COS(AC53)+AE53*SIN(AC53))*C53</f>
        <v>-0.76831488334802167</v>
      </c>
      <c r="AM53" s="1">
        <f>-4/空力安定性!$G$36/空力安定性!$G$47^2*C53*COS(AC53)*A53^2</f>
        <v>-0.16234175751441929</v>
      </c>
      <c r="AN53" s="1">
        <f>4/空力安定性!$G$36/空力安定性!$G$47*2*A53*C53*SIN(AC53)</f>
        <v>0.35196822764453983</v>
      </c>
      <c r="AO53" s="1">
        <f>4/空力安定性!$G$36/空力安定性!$G$47^2*2*(A53*COS(AC53)+AE53*SIN(AC53))*C53*A53</f>
        <v>0.3642444635889901</v>
      </c>
      <c r="AP53" s="1">
        <f>8/空力安定性!$G$36/空力安定性!$G$47^2*A53^2*C53</f>
        <v>0.33462325581395347</v>
      </c>
      <c r="AR53" s="1">
        <f>Y53*プロパティ!D$13</f>
        <v>6.9857740200000004E-2</v>
      </c>
      <c r="AS53" s="1">
        <f>V53*プロパティ!$D$13</f>
        <v>1.1285911589696692E-2</v>
      </c>
      <c r="AT53" s="1">
        <f>Z53*プロパティ!D$13</f>
        <v>0</v>
      </c>
      <c r="AU53" s="1">
        <f>SUM($AS54:AS$67)*(($A54+$A53)/2-$A53)+AU54</f>
        <v>0</v>
      </c>
      <c r="AV53" s="1">
        <f t="shared" si="3"/>
        <v>0</v>
      </c>
      <c r="AW53" s="1">
        <f t="shared" si="18"/>
        <v>5.7446408548907108E-3</v>
      </c>
      <c r="AX53" s="1">
        <f t="shared" si="19"/>
        <v>0.32914367580366288</v>
      </c>
      <c r="AY53" s="1">
        <f t="shared" si="20"/>
        <v>1.967764546804585E-3</v>
      </c>
    </row>
    <row r="54" spans="1:51">
      <c r="A54" s="1">
        <v>0.23499999999999999</v>
      </c>
      <c r="C54" s="1">
        <v>0.17</v>
      </c>
      <c r="F54" s="1">
        <f>$C$7*荷重解析!$D$1-C54*(荷重解析!$D$1-0.25)</f>
        <v>4.250000000000001E-2</v>
      </c>
      <c r="J54" s="1">
        <f t="shared" si="8"/>
        <v>8.5000000000000006E-4</v>
      </c>
      <c r="AC54" s="1">
        <f t="shared" si="13"/>
        <v>0.24434609527920614</v>
      </c>
      <c r="AH54" s="68"/>
      <c r="AI54" s="1">
        <f t="shared" si="16"/>
        <v>-5.3029612879256775E-2</v>
      </c>
    </row>
    <row r="55" spans="1:51">
      <c r="A55" s="1">
        <v>0.24</v>
      </c>
      <c r="C55" s="1">
        <v>0.17</v>
      </c>
      <c r="F55" s="1">
        <f>$C$7*荷重解析!$D$1-C55*(荷重解析!$D$1-0.25)</f>
        <v>4.250000000000001E-2</v>
      </c>
      <c r="J55" s="1">
        <f t="shared" si="8"/>
        <v>8.5000000000000006E-4</v>
      </c>
      <c r="AC55" s="1">
        <f t="shared" si="13"/>
        <v>0.24434609527920614</v>
      </c>
      <c r="AH55" s="68"/>
      <c r="AI55" s="1">
        <f t="shared" si="16"/>
        <v>-5.4157902514985645E-2</v>
      </c>
    </row>
    <row r="56" spans="1:51">
      <c r="A56" s="1">
        <v>0.245</v>
      </c>
      <c r="C56" s="1">
        <v>0.17</v>
      </c>
      <c r="F56" s="1">
        <f>$C$7*荷重解析!$D$1-C56*(荷重解析!$D$1-0.25)</f>
        <v>4.250000000000001E-2</v>
      </c>
      <c r="J56" s="1">
        <f t="shared" si="8"/>
        <v>8.5000000000000006E-4</v>
      </c>
      <c r="AC56" s="1">
        <f t="shared" si="13"/>
        <v>0.24434609527920614</v>
      </c>
      <c r="AH56" s="68"/>
      <c r="AI56" s="1">
        <f t="shared" si="16"/>
        <v>-5.5286192150714508E-2</v>
      </c>
    </row>
    <row r="57" spans="1:51">
      <c r="A57" s="1">
        <v>0.25</v>
      </c>
      <c r="C57" s="1">
        <v>0.17</v>
      </c>
      <c r="F57" s="1">
        <f>$C$7*荷重解析!$D$1-C57*(荷重解析!$D$1-0.25)</f>
        <v>4.250000000000001E-2</v>
      </c>
      <c r="J57" s="1">
        <f t="shared" si="8"/>
        <v>8.5000000000000006E-4</v>
      </c>
      <c r="AC57" s="1">
        <f t="shared" si="13"/>
        <v>0.24434609527920614</v>
      </c>
      <c r="AH57" s="68"/>
      <c r="AI57" s="1">
        <f t="shared" si="16"/>
        <v>-5.6414481786443378E-2</v>
      </c>
    </row>
    <row r="58" spans="1:51">
      <c r="A58" s="1">
        <v>0.255</v>
      </c>
      <c r="C58" s="1">
        <v>0.17</v>
      </c>
      <c r="F58" s="1">
        <f>$C$7*荷重解析!$D$1-C58*(荷重解析!$D$1-0.25)</f>
        <v>4.250000000000001E-2</v>
      </c>
      <c r="J58" s="1">
        <f t="shared" si="8"/>
        <v>8.5000000000000006E-4</v>
      </c>
      <c r="AC58" s="1">
        <f t="shared" si="13"/>
        <v>0.24434609527920614</v>
      </c>
      <c r="AH58" s="68"/>
      <c r="AI58" s="1">
        <f t="shared" si="16"/>
        <v>-5.7542771422172255E-2</v>
      </c>
    </row>
    <row r="59" spans="1:51">
      <c r="A59" s="1">
        <v>0.26</v>
      </c>
      <c r="C59" s="1">
        <v>0.17</v>
      </c>
      <c r="F59" s="1">
        <f>$C$7*荷重解析!$D$1-C59*(荷重解析!$D$1-0.25)</f>
        <v>4.250000000000001E-2</v>
      </c>
      <c r="J59" s="1">
        <f t="shared" si="8"/>
        <v>8.5000000000000006E-4</v>
      </c>
      <c r="AC59" s="1">
        <f t="shared" si="13"/>
        <v>0.24434609527920614</v>
      </c>
      <c r="AH59" s="68"/>
      <c r="AI59" s="1">
        <f t="shared" si="16"/>
        <v>-5.8671061057901111E-2</v>
      </c>
    </row>
    <row r="60" spans="1:51">
      <c r="A60" s="1">
        <v>0.26500000000000001</v>
      </c>
      <c r="C60" s="1">
        <v>0.17</v>
      </c>
      <c r="F60" s="1">
        <f>$C$7*荷重解析!$D$1-C60*(荷重解析!$D$1-0.25)</f>
        <v>4.250000000000001E-2</v>
      </c>
      <c r="J60" s="1">
        <f t="shared" si="8"/>
        <v>8.5000000000000006E-4</v>
      </c>
      <c r="AC60" s="1">
        <f t="shared" si="13"/>
        <v>0.24434609527920614</v>
      </c>
      <c r="AH60" s="68"/>
      <c r="AI60" s="1">
        <f t="shared" si="16"/>
        <v>-5.9799350693629974E-2</v>
      </c>
    </row>
    <row r="61" spans="1:51">
      <c r="A61" s="1">
        <v>0.27</v>
      </c>
      <c r="C61" s="1">
        <v>0.17</v>
      </c>
      <c r="F61" s="1">
        <f>$C$7*荷重解析!$D$1-C61*(荷重解析!$D$1-0.25)</f>
        <v>4.250000000000001E-2</v>
      </c>
      <c r="J61" s="1">
        <f t="shared" si="8"/>
        <v>8.5000000000000006E-4</v>
      </c>
      <c r="AC61" s="1">
        <f t="shared" si="13"/>
        <v>0.24434609527920614</v>
      </c>
      <c r="AH61" s="68"/>
      <c r="AI61" s="1">
        <f t="shared" si="16"/>
        <v>-6.0927640329358858E-2</v>
      </c>
    </row>
    <row r="62" spans="1:51">
      <c r="A62" s="1">
        <v>0.27500000000000002</v>
      </c>
      <c r="C62" s="1">
        <v>0.17</v>
      </c>
      <c r="F62" s="1">
        <f>$C$7*荷重解析!$D$1-C62*(荷重解析!$D$1-0.25)</f>
        <v>4.250000000000001E-2</v>
      </c>
      <c r="J62" s="1">
        <f t="shared" si="8"/>
        <v>8.5000000000000006E-4</v>
      </c>
      <c r="AC62" s="1">
        <f t="shared" si="13"/>
        <v>0.24434609527920614</v>
      </c>
      <c r="AH62" s="68"/>
      <c r="AI62" s="1">
        <f t="shared" si="16"/>
        <v>-6.2055929965087721E-2</v>
      </c>
    </row>
    <row r="63" spans="1:51">
      <c r="A63" s="1">
        <v>0.28000000000000003</v>
      </c>
      <c r="C63" s="1">
        <v>0.17</v>
      </c>
      <c r="F63" s="1">
        <f>$C$7*荷重解析!$D$1-C63*(荷重解析!$D$1-0.25)</f>
        <v>4.250000000000001E-2</v>
      </c>
      <c r="J63" s="1">
        <f t="shared" si="8"/>
        <v>8.5000000000000006E-4</v>
      </c>
      <c r="AC63" s="1">
        <f t="shared" si="13"/>
        <v>0.24434609527920614</v>
      </c>
      <c r="AH63" s="68"/>
      <c r="AI63" s="1">
        <f t="shared" si="16"/>
        <v>-6.3184219600816591E-2</v>
      </c>
    </row>
    <row r="64" spans="1:51">
      <c r="A64" s="1">
        <v>0.28499999999999998</v>
      </c>
      <c r="C64" s="1">
        <v>0.17</v>
      </c>
      <c r="F64" s="1">
        <f>$C$7*荷重解析!$D$1-C64*(荷重解析!$D$1-0.25)</f>
        <v>4.250000000000001E-2</v>
      </c>
      <c r="J64" s="1">
        <f t="shared" si="8"/>
        <v>8.5000000000000006E-4</v>
      </c>
      <c r="AC64" s="1">
        <f t="shared" si="13"/>
        <v>0.24434609527920614</v>
      </c>
      <c r="AH64" s="68"/>
      <c r="AI64" s="1">
        <f t="shared" si="16"/>
        <v>-6.4312509236545454E-2</v>
      </c>
    </row>
    <row r="65" spans="1:35">
      <c r="A65" s="1">
        <v>0.28999999999999998</v>
      </c>
      <c r="C65" s="1">
        <v>0.17</v>
      </c>
      <c r="F65" s="1">
        <f>$C$7*荷重解析!$D$1-C65*(荷重解析!$D$1-0.25)</f>
        <v>4.250000000000001E-2</v>
      </c>
      <c r="J65" s="1">
        <f t="shared" si="8"/>
        <v>8.5000000000000006E-4</v>
      </c>
      <c r="AC65" s="1">
        <f t="shared" si="13"/>
        <v>0.24434609527920614</v>
      </c>
      <c r="AH65" s="68"/>
      <c r="AI65" s="1">
        <f t="shared" si="16"/>
        <v>-6.5440798872274317E-2</v>
      </c>
    </row>
    <row r="66" spans="1:35">
      <c r="A66" s="1">
        <v>0.29499999999999998</v>
      </c>
      <c r="C66" s="1">
        <f>(0.113-0.17)/($A$127-$A$66)*(A66-$A$66)+0.17</f>
        <v>0.17</v>
      </c>
      <c r="F66" s="1">
        <f>$C$7*荷重解析!$D$1-C66*(荷重解析!$D$1-0.25)</f>
        <v>4.250000000000001E-2</v>
      </c>
      <c r="J66" s="1">
        <f t="shared" si="8"/>
        <v>8.5000000000000006E-4</v>
      </c>
      <c r="AC66" s="1">
        <f t="shared" si="13"/>
        <v>0.24434609527920614</v>
      </c>
      <c r="AH66" s="68"/>
      <c r="AI66" s="1">
        <f t="shared" si="16"/>
        <v>-6.656908850800318E-2</v>
      </c>
    </row>
    <row r="67" spans="1:35">
      <c r="A67" s="1">
        <v>0.3</v>
      </c>
      <c r="C67" s="1">
        <f t="shared" ref="C67:C126" si="21">(0.113-0.17)/($A$127-$A$66)*(A67-$A$66)+0.17</f>
        <v>0.16906557377049181</v>
      </c>
      <c r="F67" s="1">
        <f>$C$7*荷重解析!$D$1-C67*(荷重解析!$D$1-0.25)</f>
        <v>4.2632106205337389E-2</v>
      </c>
      <c r="J67" s="1">
        <f t="shared" si="8"/>
        <v>8.4532786885245905E-4</v>
      </c>
      <c r="AC67" s="1">
        <f t="shared" si="13"/>
        <v>0.24434609527920614</v>
      </c>
      <c r="AH67" s="68"/>
      <c r="AI67" s="1">
        <f t="shared" si="16"/>
        <v>-6.7325271050753005E-2</v>
      </c>
    </row>
    <row r="68" spans="1:35">
      <c r="A68" s="1">
        <v>0.30499999999999999</v>
      </c>
      <c r="C68" s="1">
        <f t="shared" si="21"/>
        <v>0.16813114754098363</v>
      </c>
      <c r="F68" s="1">
        <f>$C$7*荷重解析!$D$1-C68*(荷重解析!$D$1-0.25)</f>
        <v>4.2764212410674768E-2</v>
      </c>
      <c r="J68" s="1">
        <f t="shared" si="8"/>
        <v>8.4065573770491814E-4</v>
      </c>
      <c r="AC68" s="1">
        <f t="shared" si="13"/>
        <v>0.24434609527920614</v>
      </c>
      <c r="AI68" s="1">
        <f t="shared" si="16"/>
        <v>-6.8069050023736852E-2</v>
      </c>
    </row>
    <row r="69" spans="1:35">
      <c r="A69" s="1">
        <v>0.31</v>
      </c>
      <c r="C69" s="1">
        <f t="shared" si="21"/>
        <v>0.16719672131147542</v>
      </c>
      <c r="F69" s="1">
        <f>$C$7*荷重解析!$D$1-C69*(荷重解析!$D$1-0.25)</f>
        <v>4.2896318616012147E-2</v>
      </c>
      <c r="J69" s="1">
        <f t="shared" si="8"/>
        <v>8.3598360655737713E-4</v>
      </c>
      <c r="AC69" s="1">
        <f t="shared" si="13"/>
        <v>0.24434609527920614</v>
      </c>
      <c r="AI69" s="1">
        <f t="shared" si="16"/>
        <v>-6.8800425426954748E-2</v>
      </c>
    </row>
    <row r="70" spans="1:35">
      <c r="A70" s="1">
        <v>0.315</v>
      </c>
      <c r="C70" s="1">
        <f t="shared" si="21"/>
        <v>0.16626229508196722</v>
      </c>
      <c r="F70" s="1">
        <f>$C$7*荷重解析!$D$1-C70*(荷重解析!$D$1-0.25)</f>
        <v>4.3028424821349526E-2</v>
      </c>
      <c r="J70" s="1">
        <f t="shared" si="8"/>
        <v>8.3131147540983611E-4</v>
      </c>
      <c r="AC70" s="1">
        <f t="shared" si="13"/>
        <v>0.24434609527920614</v>
      </c>
      <c r="AI70" s="1">
        <f t="shared" si="16"/>
        <v>-6.9519397260406651E-2</v>
      </c>
    </row>
    <row r="71" spans="1:35">
      <c r="A71" s="1">
        <v>0.32</v>
      </c>
      <c r="C71" s="1">
        <f t="shared" si="21"/>
        <v>0.16532786885245904</v>
      </c>
      <c r="F71" s="1">
        <f>$C$7*荷重解析!$D$1-C71*(荷重解析!$D$1-0.25)</f>
        <v>4.3160531026686905E-2</v>
      </c>
      <c r="J71" s="1">
        <f t="shared" si="8"/>
        <v>8.2663934426229521E-4</v>
      </c>
      <c r="AC71" s="1">
        <f t="shared" si="13"/>
        <v>0.24434609527920614</v>
      </c>
      <c r="AI71" s="1">
        <f t="shared" si="16"/>
        <v>-7.0225965524092604E-2</v>
      </c>
    </row>
    <row r="72" spans="1:35">
      <c r="A72" s="1">
        <v>0.32500000000000001</v>
      </c>
      <c r="C72" s="1">
        <f t="shared" si="21"/>
        <v>0.16439344262295083</v>
      </c>
      <c r="F72" s="1">
        <f>$C$7*荷重解析!$D$1-C72*(荷重解析!$D$1-0.25)</f>
        <v>4.3292637232024284E-2</v>
      </c>
      <c r="J72" s="1">
        <f t="shared" ref="J72:J131" si="22">C72*0.005</f>
        <v>8.219672131147542E-4</v>
      </c>
      <c r="AC72" s="1">
        <f t="shared" ref="AC72:AC131" si="23">RADIANS(14)</f>
        <v>0.24434609527920614</v>
      </c>
      <c r="AI72" s="1">
        <f t="shared" ref="AI72:AI131" si="24">-2*PI()*0.9*SIN(AC72)*(A72*COS(AC72))*C72</f>
        <v>-7.0920130218012578E-2</v>
      </c>
    </row>
    <row r="73" spans="1:35">
      <c r="A73" s="1">
        <v>0.33</v>
      </c>
      <c r="C73" s="1">
        <f t="shared" si="21"/>
        <v>0.16345901639344262</v>
      </c>
      <c r="F73" s="1">
        <f>$C$7*荷重解析!$D$1-C73*(荷重解析!$D$1-0.25)</f>
        <v>4.3424743437361663E-2</v>
      </c>
      <c r="J73" s="1">
        <f t="shared" si="22"/>
        <v>8.1729508196721318E-4</v>
      </c>
      <c r="AC73" s="1">
        <f t="shared" si="23"/>
        <v>0.24434609527920614</v>
      </c>
      <c r="AI73" s="1">
        <f t="shared" si="24"/>
        <v>-7.1601891342166588E-2</v>
      </c>
    </row>
    <row r="74" spans="1:35">
      <c r="A74" s="1">
        <v>0.33500000000000002</v>
      </c>
      <c r="C74" s="1">
        <f t="shared" si="21"/>
        <v>0.16252459016393442</v>
      </c>
      <c r="F74" s="1">
        <f>$C$7*荷重解析!$D$1-C74*(荷重解析!$D$1-0.25)</f>
        <v>4.3556849642699041E-2</v>
      </c>
      <c r="J74" s="1">
        <f t="shared" si="22"/>
        <v>8.1262295081967206E-4</v>
      </c>
      <c r="AC74" s="1">
        <f t="shared" si="23"/>
        <v>0.24434609527920614</v>
      </c>
      <c r="AI74" s="1">
        <f t="shared" si="24"/>
        <v>-7.2271248896554632E-2</v>
      </c>
    </row>
    <row r="75" spans="1:35">
      <c r="A75" s="1">
        <v>0.34</v>
      </c>
      <c r="C75" s="1">
        <f t="shared" si="21"/>
        <v>0.16159016393442624</v>
      </c>
      <c r="F75" s="1">
        <f>$C$7*荷重解析!$D$1-C75*(荷重解析!$D$1-0.25)</f>
        <v>4.368895584803642E-2</v>
      </c>
      <c r="J75" s="1">
        <f t="shared" si="22"/>
        <v>8.0795081967213126E-4</v>
      </c>
      <c r="AC75" s="1">
        <f t="shared" si="23"/>
        <v>0.24434609527920614</v>
      </c>
      <c r="AI75" s="1">
        <f t="shared" si="24"/>
        <v>-7.2928202881176712E-2</v>
      </c>
    </row>
    <row r="76" spans="1:35">
      <c r="A76" s="1">
        <v>0.34499999999999997</v>
      </c>
      <c r="C76" s="1">
        <f t="shared" si="21"/>
        <v>0.16065573770491803</v>
      </c>
      <c r="F76" s="1">
        <f>$C$7*荷重解析!$D$1-C76*(荷重解析!$D$1-0.25)</f>
        <v>4.3821062053373799E-2</v>
      </c>
      <c r="J76" s="1">
        <f t="shared" si="22"/>
        <v>8.0327868852459014E-4</v>
      </c>
      <c r="AC76" s="1">
        <f t="shared" si="23"/>
        <v>0.24434609527920614</v>
      </c>
      <c r="AI76" s="1">
        <f t="shared" si="24"/>
        <v>-7.35727532960328E-2</v>
      </c>
    </row>
    <row r="77" spans="1:35">
      <c r="A77" s="1">
        <v>0.35</v>
      </c>
      <c r="C77" s="1">
        <f t="shared" si="21"/>
        <v>0.15972131147540986</v>
      </c>
      <c r="F77" s="1">
        <f>$C$7*荷重解析!$D$1-C77*(荷重解析!$D$1-0.25)</f>
        <v>4.3953168258711178E-2</v>
      </c>
      <c r="J77" s="1">
        <f t="shared" si="22"/>
        <v>7.9860655737704934E-4</v>
      </c>
      <c r="AC77" s="1">
        <f t="shared" si="23"/>
        <v>0.24434609527920614</v>
      </c>
      <c r="AI77" s="1">
        <f t="shared" si="24"/>
        <v>-7.4204900141122951E-2</v>
      </c>
    </row>
    <row r="78" spans="1:35">
      <c r="A78" s="1">
        <v>0.35499999999999998</v>
      </c>
      <c r="C78" s="1">
        <f t="shared" si="21"/>
        <v>0.15878688524590165</v>
      </c>
      <c r="F78" s="1">
        <f>$C$7*荷重解析!$D$1-C78*(荷重解析!$D$1-0.25)</f>
        <v>4.4085274464048557E-2</v>
      </c>
      <c r="J78" s="1">
        <f t="shared" si="22"/>
        <v>7.9393442622950822E-4</v>
      </c>
      <c r="AC78" s="1">
        <f t="shared" si="23"/>
        <v>0.24434609527920614</v>
      </c>
      <c r="AI78" s="1">
        <f t="shared" si="24"/>
        <v>-7.4824643416447109E-2</v>
      </c>
    </row>
    <row r="79" spans="1:35">
      <c r="A79" s="1">
        <v>0.36</v>
      </c>
      <c r="C79" s="1">
        <f t="shared" si="21"/>
        <v>0.15785245901639344</v>
      </c>
      <c r="F79" s="1">
        <f>$C$7*荷重解析!$D$1-C79*(荷重解析!$D$1-0.25)</f>
        <v>4.4217380669385936E-2</v>
      </c>
      <c r="J79" s="1">
        <f t="shared" si="22"/>
        <v>7.8926229508196721E-4</v>
      </c>
      <c r="AC79" s="1">
        <f t="shared" si="23"/>
        <v>0.24434609527920614</v>
      </c>
      <c r="AI79" s="1">
        <f t="shared" si="24"/>
        <v>-7.5431983122005317E-2</v>
      </c>
    </row>
    <row r="80" spans="1:35">
      <c r="A80" s="1">
        <v>0.36499999999999999</v>
      </c>
      <c r="C80" s="1">
        <f t="shared" si="21"/>
        <v>0.15691803278688526</v>
      </c>
      <c r="F80" s="1">
        <f>$C$7*荷重解析!$D$1-C80*(荷重解析!$D$1-0.25)</f>
        <v>4.4349486874723315E-2</v>
      </c>
      <c r="J80" s="1">
        <f t="shared" si="22"/>
        <v>7.845901639344263E-4</v>
      </c>
      <c r="AC80" s="1">
        <f t="shared" si="23"/>
        <v>0.24434609527920614</v>
      </c>
      <c r="AI80" s="1">
        <f t="shared" si="24"/>
        <v>-7.6026919257797546E-2</v>
      </c>
    </row>
    <row r="81" spans="1:35">
      <c r="A81" s="1">
        <v>0.37</v>
      </c>
      <c r="C81" s="1">
        <f t="shared" si="21"/>
        <v>0.15598360655737706</v>
      </c>
      <c r="F81" s="1">
        <f>$C$7*荷重解析!$D$1-C81*(荷重解析!$D$1-0.25)</f>
        <v>4.4481593080060694E-2</v>
      </c>
      <c r="J81" s="1">
        <f t="shared" si="22"/>
        <v>7.7991803278688529E-4</v>
      </c>
      <c r="AC81" s="1">
        <f t="shared" si="23"/>
        <v>0.24434609527920614</v>
      </c>
      <c r="AI81" s="1">
        <f t="shared" si="24"/>
        <v>-7.660945182382381E-2</v>
      </c>
    </row>
    <row r="82" spans="1:35">
      <c r="A82" s="1">
        <v>0.375</v>
      </c>
      <c r="C82" s="1">
        <f t="shared" si="21"/>
        <v>0.15504918032786885</v>
      </c>
      <c r="F82" s="1">
        <f>$C$7*荷重解析!$D$1-C82*(荷重解析!$D$1-0.25)</f>
        <v>4.4613699285398073E-2</v>
      </c>
      <c r="J82" s="1">
        <f t="shared" si="22"/>
        <v>7.7524590163934428E-4</v>
      </c>
      <c r="AC82" s="1">
        <f t="shared" si="23"/>
        <v>0.24434609527920614</v>
      </c>
      <c r="AI82" s="1">
        <f t="shared" si="24"/>
        <v>-7.7179580820084109E-2</v>
      </c>
    </row>
    <row r="83" spans="1:35">
      <c r="A83" s="1">
        <v>0.38</v>
      </c>
      <c r="C83" s="1">
        <f t="shared" si="21"/>
        <v>0.15411475409836067</v>
      </c>
      <c r="F83" s="1">
        <f>$C$7*荷重解析!$D$1-C83*(荷重解析!$D$1-0.25)</f>
        <v>4.4745805490735452E-2</v>
      </c>
      <c r="J83" s="1">
        <f t="shared" si="22"/>
        <v>7.7057377049180337E-4</v>
      </c>
      <c r="AC83" s="1">
        <f t="shared" si="23"/>
        <v>0.24434609527920614</v>
      </c>
      <c r="AI83" s="1">
        <f t="shared" si="24"/>
        <v>-7.7737306246578444E-2</v>
      </c>
    </row>
    <row r="84" spans="1:35">
      <c r="A84" s="1">
        <v>0.38500000000000001</v>
      </c>
      <c r="C84" s="1">
        <f t="shared" si="21"/>
        <v>0.15318032786885247</v>
      </c>
      <c r="F84" s="1">
        <f>$C$7*荷重解析!$D$1-C84*(荷重解析!$D$1-0.25)</f>
        <v>4.4877911696072831E-2</v>
      </c>
      <c r="J84" s="1">
        <f t="shared" si="22"/>
        <v>7.6590163934426236E-4</v>
      </c>
      <c r="AC84" s="1">
        <f t="shared" si="23"/>
        <v>0.24434609527920614</v>
      </c>
      <c r="AI84" s="1">
        <f t="shared" si="24"/>
        <v>-7.8282628103306801E-2</v>
      </c>
    </row>
    <row r="85" spans="1:35">
      <c r="A85" s="1">
        <v>0.39</v>
      </c>
      <c r="C85" s="1">
        <f t="shared" si="21"/>
        <v>0.15224590163934426</v>
      </c>
      <c r="F85" s="1">
        <f>$C$7*荷重解析!$D$1-C85*(荷重解析!$D$1-0.25)</f>
        <v>4.501001790141021E-2</v>
      </c>
      <c r="J85" s="1">
        <f t="shared" si="22"/>
        <v>7.6122950819672134E-4</v>
      </c>
      <c r="AC85" s="1">
        <f t="shared" si="23"/>
        <v>0.24434609527920614</v>
      </c>
      <c r="AI85" s="1">
        <f t="shared" si="24"/>
        <v>-7.8815546390269192E-2</v>
      </c>
    </row>
    <row r="86" spans="1:35">
      <c r="A86" s="1">
        <v>0.39500000000000002</v>
      </c>
      <c r="C86" s="1">
        <f t="shared" si="21"/>
        <v>0.15131147540983608</v>
      </c>
      <c r="F86" s="1">
        <f>$C$7*荷重解析!$D$1-C86*(荷重解析!$D$1-0.25)</f>
        <v>4.5142124106747589E-2</v>
      </c>
      <c r="J86" s="1">
        <f t="shared" si="22"/>
        <v>7.5655737704918044E-4</v>
      </c>
      <c r="AC86" s="1">
        <f t="shared" si="23"/>
        <v>0.24434609527920614</v>
      </c>
      <c r="AI86" s="1">
        <f t="shared" si="24"/>
        <v>-7.9336061107465619E-2</v>
      </c>
    </row>
    <row r="87" spans="1:35">
      <c r="A87" s="1">
        <v>0.4</v>
      </c>
      <c r="C87" s="1">
        <f t="shared" si="21"/>
        <v>0.15037704918032788</v>
      </c>
      <c r="F87" s="1">
        <f>$C$7*荷重解析!$D$1-C87*(荷重解析!$D$1-0.25)</f>
        <v>4.5274230312084968E-2</v>
      </c>
      <c r="J87" s="1">
        <f t="shared" si="22"/>
        <v>7.5188524590163943E-4</v>
      </c>
      <c r="AC87" s="1">
        <f t="shared" si="23"/>
        <v>0.24434609527920614</v>
      </c>
      <c r="AI87" s="1">
        <f t="shared" si="24"/>
        <v>-7.9844172254896068E-2</v>
      </c>
    </row>
    <row r="88" spans="1:35">
      <c r="A88" s="1">
        <v>0.40500000000000003</v>
      </c>
      <c r="C88" s="1">
        <f t="shared" si="21"/>
        <v>0.14944262295081967</v>
      </c>
      <c r="F88" s="1">
        <f>$C$7*荷重解析!$D$1-C88*(荷重解析!$D$1-0.25)</f>
        <v>4.5406336517422347E-2</v>
      </c>
      <c r="J88" s="1">
        <f t="shared" si="22"/>
        <v>7.4721311475409841E-4</v>
      </c>
      <c r="AC88" s="1">
        <f t="shared" si="23"/>
        <v>0.24434609527920614</v>
      </c>
      <c r="AI88" s="1">
        <f t="shared" si="24"/>
        <v>-8.0339879832560551E-2</v>
      </c>
    </row>
    <row r="89" spans="1:35">
      <c r="A89" s="1">
        <v>0.41</v>
      </c>
      <c r="C89" s="1">
        <f t="shared" si="21"/>
        <v>0.14850819672131149</v>
      </c>
      <c r="F89" s="1">
        <f>$C$7*荷重解析!$D$1-C89*(荷重解析!$D$1-0.25)</f>
        <v>4.5538442722759725E-2</v>
      </c>
      <c r="J89" s="1">
        <f t="shared" si="22"/>
        <v>7.4254098360655751E-4</v>
      </c>
      <c r="AC89" s="1">
        <f t="shared" si="23"/>
        <v>0.24434609527920614</v>
      </c>
      <c r="AI89" s="1">
        <f t="shared" si="24"/>
        <v>-8.082318384045907E-2</v>
      </c>
    </row>
    <row r="90" spans="1:35">
      <c r="A90" s="1">
        <v>0.41499999999999998</v>
      </c>
      <c r="C90" s="1">
        <f t="shared" si="21"/>
        <v>0.14757377049180329</v>
      </c>
      <c r="F90" s="1">
        <f>$C$7*荷重解析!$D$1-C90*(荷重解析!$D$1-0.25)</f>
        <v>4.5670548928097104E-2</v>
      </c>
      <c r="J90" s="1">
        <f t="shared" si="22"/>
        <v>7.3786885245901649E-4</v>
      </c>
      <c r="AC90" s="1">
        <f t="shared" si="23"/>
        <v>0.24434609527920614</v>
      </c>
      <c r="AI90" s="1">
        <f t="shared" si="24"/>
        <v>-8.1294084278591597E-2</v>
      </c>
    </row>
    <row r="91" spans="1:35">
      <c r="A91" s="1">
        <v>0.42</v>
      </c>
      <c r="C91" s="1">
        <f t="shared" si="21"/>
        <v>0.14663934426229508</v>
      </c>
      <c r="F91" s="1">
        <f>$C$7*荷重解析!$D$1-C91*(荷重解析!$D$1-0.25)</f>
        <v>4.5802655133434483E-2</v>
      </c>
      <c r="J91" s="1">
        <f t="shared" si="22"/>
        <v>7.3319672131147537E-4</v>
      </c>
      <c r="AC91" s="1">
        <f t="shared" si="23"/>
        <v>0.24434609527920614</v>
      </c>
      <c r="AI91" s="1">
        <f t="shared" si="24"/>
        <v>-8.1752581146958186E-2</v>
      </c>
    </row>
    <row r="92" spans="1:35">
      <c r="A92" s="1">
        <v>0.42499999999999999</v>
      </c>
      <c r="C92" s="1">
        <f t="shared" si="21"/>
        <v>0.1457049180327869</v>
      </c>
      <c r="F92" s="1">
        <f>$C$7*荷重解析!$D$1-C92*(荷重解析!$D$1-0.25)</f>
        <v>4.5934761338771862E-2</v>
      </c>
      <c r="J92" s="1">
        <f t="shared" si="22"/>
        <v>7.2852459016393447E-4</v>
      </c>
      <c r="AC92" s="1">
        <f t="shared" si="23"/>
        <v>0.24434609527920614</v>
      </c>
      <c r="AI92" s="1">
        <f t="shared" si="24"/>
        <v>-8.2198674445558811E-2</v>
      </c>
    </row>
    <row r="93" spans="1:35">
      <c r="A93" s="1">
        <v>0.43</v>
      </c>
      <c r="C93" s="1">
        <f t="shared" si="21"/>
        <v>0.14477049180327869</v>
      </c>
      <c r="F93" s="1">
        <f>$C$7*荷重解析!$D$1-C93*(荷重解析!$D$1-0.25)</f>
        <v>4.6066867544109241E-2</v>
      </c>
      <c r="J93" s="1">
        <f t="shared" si="22"/>
        <v>7.2385245901639345E-4</v>
      </c>
      <c r="AC93" s="1">
        <f t="shared" si="23"/>
        <v>0.24434609527920614</v>
      </c>
      <c r="AI93" s="1">
        <f t="shared" si="24"/>
        <v>-8.2632364174393444E-2</v>
      </c>
    </row>
    <row r="94" spans="1:35">
      <c r="A94" s="1">
        <v>0.435</v>
      </c>
      <c r="C94" s="1">
        <f t="shared" si="21"/>
        <v>0.14383606557377049</v>
      </c>
      <c r="F94" s="1">
        <f>$C$7*荷重解析!$D$1-C94*(荷重解析!$D$1-0.25)</f>
        <v>4.619897374944662E-2</v>
      </c>
      <c r="J94" s="1">
        <f t="shared" si="22"/>
        <v>7.1918032786885244E-4</v>
      </c>
      <c r="AC94" s="1">
        <f t="shared" si="23"/>
        <v>0.24434609527920614</v>
      </c>
      <c r="AI94" s="1">
        <f t="shared" si="24"/>
        <v>-8.3053650333462126E-2</v>
      </c>
    </row>
    <row r="95" spans="1:35">
      <c r="A95" s="1">
        <v>0.44</v>
      </c>
      <c r="C95" s="1">
        <f t="shared" si="21"/>
        <v>0.14290163934426231</v>
      </c>
      <c r="F95" s="1">
        <f>$C$7*荷重解析!$D$1-C95*(荷重解析!$D$1-0.25)</f>
        <v>4.6331079954783999E-2</v>
      </c>
      <c r="J95" s="1">
        <f t="shared" si="22"/>
        <v>7.1450819672131153E-4</v>
      </c>
      <c r="AC95" s="1">
        <f t="shared" si="23"/>
        <v>0.24434609527920614</v>
      </c>
      <c r="AI95" s="1">
        <f t="shared" si="24"/>
        <v>-8.3462532922764843E-2</v>
      </c>
    </row>
    <row r="96" spans="1:35">
      <c r="A96" s="1">
        <v>0.44500000000000001</v>
      </c>
      <c r="C96" s="1">
        <f t="shared" si="21"/>
        <v>0.1419672131147541</v>
      </c>
      <c r="F96" s="1">
        <f>$C$7*荷重解析!$D$1-C96*(荷重解析!$D$1-0.25)</f>
        <v>4.6463186160121378E-2</v>
      </c>
      <c r="J96" s="1">
        <f t="shared" si="22"/>
        <v>7.0983606557377052E-4</v>
      </c>
      <c r="AC96" s="1">
        <f t="shared" si="23"/>
        <v>0.24434609527920614</v>
      </c>
      <c r="AI96" s="1">
        <f t="shared" si="24"/>
        <v>-8.3859011942301581E-2</v>
      </c>
    </row>
    <row r="97" spans="1:35">
      <c r="A97" s="1">
        <v>0.45</v>
      </c>
      <c r="C97" s="1">
        <f t="shared" si="21"/>
        <v>0.1410327868852459</v>
      </c>
      <c r="F97" s="1">
        <f>$C$7*荷重解析!$D$1-C97*(荷重解析!$D$1-0.25)</f>
        <v>4.6595292365458757E-2</v>
      </c>
      <c r="J97" s="1">
        <f t="shared" si="22"/>
        <v>7.0516393442622951E-4</v>
      </c>
      <c r="AC97" s="1">
        <f t="shared" si="23"/>
        <v>0.24434609527920614</v>
      </c>
      <c r="AI97" s="1">
        <f t="shared" si="24"/>
        <v>-8.4243087392072341E-2</v>
      </c>
    </row>
    <row r="98" spans="1:35">
      <c r="A98" s="1">
        <v>0.45500000000000002</v>
      </c>
      <c r="C98" s="1">
        <f t="shared" si="21"/>
        <v>0.14009836065573772</v>
      </c>
      <c r="F98" s="1">
        <f>$C$7*荷重解析!$D$1-C98*(荷重解析!$D$1-0.25)</f>
        <v>4.6727398570796136E-2</v>
      </c>
      <c r="J98" s="1">
        <f t="shared" si="22"/>
        <v>7.004918032786886E-4</v>
      </c>
      <c r="AC98" s="1">
        <f t="shared" si="23"/>
        <v>0.24434609527920614</v>
      </c>
      <c r="AI98" s="1">
        <f t="shared" si="24"/>
        <v>-8.461475927207715E-2</v>
      </c>
    </row>
    <row r="99" spans="1:35">
      <c r="A99" s="1">
        <v>0.46</v>
      </c>
      <c r="C99" s="1">
        <f t="shared" si="21"/>
        <v>0.13916393442622951</v>
      </c>
      <c r="F99" s="1">
        <f>$C$7*荷重解析!$D$1-C99*(荷重解析!$D$1-0.25)</f>
        <v>4.6859504776133515E-2</v>
      </c>
      <c r="J99" s="1">
        <f t="shared" si="22"/>
        <v>6.9581967213114759E-4</v>
      </c>
      <c r="AC99" s="1">
        <f t="shared" si="23"/>
        <v>0.24434609527920614</v>
      </c>
      <c r="AI99" s="1">
        <f t="shared" si="24"/>
        <v>-8.4974027582315995E-2</v>
      </c>
    </row>
    <row r="100" spans="1:35">
      <c r="A100" s="1">
        <v>0.46500000000000002</v>
      </c>
      <c r="C100" s="1">
        <f t="shared" si="21"/>
        <v>0.13822950819672131</v>
      </c>
      <c r="F100" s="1">
        <f>$C$7*荷重解析!$D$1-C100*(荷重解析!$D$1-0.25)</f>
        <v>4.6991610981470894E-2</v>
      </c>
      <c r="J100" s="1">
        <f t="shared" si="22"/>
        <v>6.9114754098360657E-4</v>
      </c>
      <c r="AC100" s="1">
        <f t="shared" si="23"/>
        <v>0.24434609527920614</v>
      </c>
      <c r="AI100" s="1">
        <f t="shared" si="24"/>
        <v>-8.532089232278886E-2</v>
      </c>
    </row>
    <row r="101" spans="1:35">
      <c r="A101" s="1">
        <v>0.47</v>
      </c>
      <c r="C101" s="1">
        <f t="shared" si="21"/>
        <v>0.13729508196721313</v>
      </c>
      <c r="F101" s="1">
        <f>$C$7*荷重解析!$D$1-C101*(荷重解析!$D$1-0.25)</f>
        <v>4.7123717186808273E-2</v>
      </c>
      <c r="J101" s="1">
        <f t="shared" si="22"/>
        <v>6.8647540983606567E-4</v>
      </c>
      <c r="AC101" s="1">
        <f t="shared" si="23"/>
        <v>0.24434609527920614</v>
      </c>
      <c r="AI101" s="1">
        <f t="shared" si="24"/>
        <v>-8.5655353493495762E-2</v>
      </c>
    </row>
    <row r="102" spans="1:35">
      <c r="A102" s="1">
        <v>0.47499999999999998</v>
      </c>
      <c r="C102" s="1">
        <f t="shared" si="21"/>
        <v>0.13636065573770492</v>
      </c>
      <c r="F102" s="1">
        <f>$C$7*荷重解析!$D$1-C102*(荷重解析!$D$1-0.25)</f>
        <v>4.7255823392145652E-2</v>
      </c>
      <c r="J102" s="1">
        <f t="shared" si="22"/>
        <v>6.8180327868852465E-4</v>
      </c>
      <c r="AC102" s="1">
        <f t="shared" si="23"/>
        <v>0.24434609527920614</v>
      </c>
      <c r="AI102" s="1">
        <f t="shared" si="24"/>
        <v>-8.5977411094436684E-2</v>
      </c>
    </row>
    <row r="103" spans="1:35">
      <c r="A103" s="1">
        <v>0.48</v>
      </c>
      <c r="C103" s="1">
        <f t="shared" si="21"/>
        <v>0.13542622950819672</v>
      </c>
      <c r="F103" s="1">
        <f>$C$7*荷重解析!$D$1-C103*(荷重解析!$D$1-0.25)</f>
        <v>4.7387929597483031E-2</v>
      </c>
      <c r="J103" s="1">
        <f t="shared" si="22"/>
        <v>6.7713114754098364E-4</v>
      </c>
      <c r="AC103" s="1">
        <f t="shared" si="23"/>
        <v>0.24434609527920614</v>
      </c>
      <c r="AI103" s="1">
        <f t="shared" si="24"/>
        <v>-8.6287065125611642E-2</v>
      </c>
    </row>
    <row r="104" spans="1:35">
      <c r="A104" s="1">
        <v>0.48499999999999999</v>
      </c>
      <c r="C104" s="1">
        <f t="shared" si="21"/>
        <v>0.13449180327868854</v>
      </c>
      <c r="F104" s="1">
        <f>$C$7*荷重解析!$D$1-C104*(荷重解析!$D$1-0.25)</f>
        <v>4.752003580282041E-2</v>
      </c>
      <c r="J104" s="1">
        <f t="shared" si="22"/>
        <v>6.7245901639344274E-4</v>
      </c>
      <c r="AC104" s="1">
        <f t="shared" si="23"/>
        <v>0.24434609527920614</v>
      </c>
      <c r="AI104" s="1">
        <f t="shared" si="24"/>
        <v>-8.6584315587020649E-2</v>
      </c>
    </row>
    <row r="105" spans="1:35">
      <c r="A105" s="1">
        <v>0.49</v>
      </c>
      <c r="C105" s="1">
        <f t="shared" si="21"/>
        <v>0.13355737704918033</v>
      </c>
      <c r="F105" s="1">
        <f>$C$7*荷重解析!$D$1-C105*(荷重解析!$D$1-0.25)</f>
        <v>4.7652142008157788E-2</v>
      </c>
      <c r="J105" s="1">
        <f t="shared" si="22"/>
        <v>6.6778688524590172E-4</v>
      </c>
      <c r="AC105" s="1">
        <f t="shared" si="23"/>
        <v>0.24434609527920614</v>
      </c>
      <c r="AI105" s="1">
        <f t="shared" si="24"/>
        <v>-8.6869162478663664E-2</v>
      </c>
    </row>
    <row r="106" spans="1:35">
      <c r="A106" s="1">
        <v>0.495</v>
      </c>
      <c r="C106" s="1">
        <f t="shared" si="21"/>
        <v>0.13262295081967213</v>
      </c>
      <c r="F106" s="1">
        <f>$C$7*荷重解析!$D$1-C106*(荷重解析!$D$1-0.25)</f>
        <v>4.7784248213495167E-2</v>
      </c>
      <c r="J106" s="1">
        <f t="shared" si="22"/>
        <v>6.631147540983606E-4</v>
      </c>
      <c r="AC106" s="1">
        <f t="shared" si="23"/>
        <v>0.24434609527920614</v>
      </c>
      <c r="AI106" s="1">
        <f t="shared" si="24"/>
        <v>-8.7141605800540728E-2</v>
      </c>
    </row>
    <row r="107" spans="1:35">
      <c r="A107" s="1">
        <v>0.5</v>
      </c>
      <c r="C107" s="1">
        <f t="shared" si="21"/>
        <v>0.13168852459016395</v>
      </c>
      <c r="F107" s="1">
        <f>$C$7*荷重解析!$D$1-C107*(荷重解析!$D$1-0.25)</f>
        <v>4.7916354418832546E-2</v>
      </c>
      <c r="J107" s="1">
        <f t="shared" si="22"/>
        <v>6.5844262295081969E-4</v>
      </c>
      <c r="AC107" s="1">
        <f t="shared" si="23"/>
        <v>0.24434609527920614</v>
      </c>
      <c r="AI107" s="1">
        <f t="shared" si="24"/>
        <v>-8.7401645552651827E-2</v>
      </c>
    </row>
    <row r="108" spans="1:35">
      <c r="A108" s="1">
        <v>0.505</v>
      </c>
      <c r="C108" s="1">
        <f t="shared" si="21"/>
        <v>0.13075409836065574</v>
      </c>
      <c r="F108" s="1">
        <f>$C$7*荷重解析!$D$1-C108*(荷重解析!$D$1-0.25)</f>
        <v>4.8048460624169925E-2</v>
      </c>
      <c r="J108" s="1">
        <f t="shared" si="22"/>
        <v>6.5377049180327868E-4</v>
      </c>
      <c r="AC108" s="1">
        <f t="shared" si="23"/>
        <v>0.24434609527920614</v>
      </c>
      <c r="AI108" s="1">
        <f t="shared" si="24"/>
        <v>-8.7649281734996934E-2</v>
      </c>
    </row>
    <row r="109" spans="1:35">
      <c r="A109" s="1">
        <v>0.51</v>
      </c>
      <c r="C109" s="1">
        <f t="shared" si="21"/>
        <v>0.12981967213114753</v>
      </c>
      <c r="F109" s="1">
        <f>$C$7*荷重解析!$D$1-C109*(荷重解析!$D$1-0.25)</f>
        <v>4.8180566829507304E-2</v>
      </c>
      <c r="J109" s="1">
        <f t="shared" si="22"/>
        <v>6.4909836065573767E-4</v>
      </c>
      <c r="AC109" s="1">
        <f t="shared" si="23"/>
        <v>0.24434609527920614</v>
      </c>
      <c r="AI109" s="1">
        <f t="shared" si="24"/>
        <v>-8.788451434757609E-2</v>
      </c>
    </row>
    <row r="110" spans="1:35">
      <c r="A110" s="1">
        <v>0.51500000000000001</v>
      </c>
      <c r="C110" s="1">
        <f t="shared" si="21"/>
        <v>0.12888524590163936</v>
      </c>
      <c r="F110" s="1">
        <f>$C$7*荷重解析!$D$1-C110*(荷重解析!$D$1-0.25)</f>
        <v>4.8312673034844683E-2</v>
      </c>
      <c r="J110" s="1">
        <f t="shared" si="22"/>
        <v>6.4442622950819676E-4</v>
      </c>
      <c r="AC110" s="1">
        <f t="shared" si="23"/>
        <v>0.24434609527920614</v>
      </c>
      <c r="AI110" s="1">
        <f t="shared" si="24"/>
        <v>-8.8107343390389281E-2</v>
      </c>
    </row>
    <row r="111" spans="1:35">
      <c r="A111" s="1">
        <v>0.52</v>
      </c>
      <c r="C111" s="1">
        <f t="shared" si="21"/>
        <v>0.12795081967213115</v>
      </c>
      <c r="F111" s="1">
        <f>$C$7*荷重解析!$D$1-C111*(荷重解析!$D$1-0.25)</f>
        <v>4.8444779240182062E-2</v>
      </c>
      <c r="J111" s="1">
        <f t="shared" si="22"/>
        <v>6.3975409836065575E-4</v>
      </c>
      <c r="AC111" s="1">
        <f t="shared" si="23"/>
        <v>0.24434609527920614</v>
      </c>
      <c r="AI111" s="1">
        <f t="shared" si="24"/>
        <v>-8.831776886343648E-2</v>
      </c>
    </row>
    <row r="112" spans="1:35">
      <c r="A112" s="1">
        <v>0.52500000000000002</v>
      </c>
      <c r="C112" s="1">
        <f t="shared" si="21"/>
        <v>0.12701639344262294</v>
      </c>
      <c r="F112" s="1">
        <f>$C$7*荷重解析!$D$1-C112*(荷重解析!$D$1-0.25)</f>
        <v>4.8576885445519441E-2</v>
      </c>
      <c r="J112" s="1">
        <f t="shared" si="22"/>
        <v>6.3508196721311473E-4</v>
      </c>
      <c r="AC112" s="1">
        <f t="shared" si="23"/>
        <v>0.24434609527920614</v>
      </c>
      <c r="AI112" s="1">
        <f t="shared" si="24"/>
        <v>-8.8515790766717742E-2</v>
      </c>
    </row>
    <row r="113" spans="1:35">
      <c r="A113" s="1">
        <v>0.53</v>
      </c>
      <c r="C113" s="1">
        <f t="shared" si="21"/>
        <v>0.12608196721311477</v>
      </c>
      <c r="F113" s="1">
        <f>$C$7*荷重解析!$D$1-C113*(荷重解析!$D$1-0.25)</f>
        <v>4.870899165085682E-2</v>
      </c>
      <c r="J113" s="1">
        <f t="shared" si="22"/>
        <v>6.3040983606557383E-4</v>
      </c>
      <c r="AC113" s="1">
        <f t="shared" si="23"/>
        <v>0.24434609527920614</v>
      </c>
      <c r="AI113" s="1">
        <f t="shared" si="24"/>
        <v>-8.8701409100233011E-2</v>
      </c>
    </row>
    <row r="114" spans="1:35">
      <c r="A114" s="1">
        <v>0.53500000000000003</v>
      </c>
      <c r="C114" s="1">
        <f t="shared" si="21"/>
        <v>0.12514754098360656</v>
      </c>
      <c r="F114" s="1">
        <f>$C$7*荷重解析!$D$1-C114*(荷重解析!$D$1-0.25)</f>
        <v>4.8841097856194199E-2</v>
      </c>
      <c r="J114" s="1">
        <f t="shared" si="22"/>
        <v>6.2573770491803282E-4</v>
      </c>
      <c r="AC114" s="1">
        <f t="shared" si="23"/>
        <v>0.24434609527920614</v>
      </c>
      <c r="AI114" s="1">
        <f t="shared" si="24"/>
        <v>-8.887462386398233E-2</v>
      </c>
    </row>
    <row r="115" spans="1:35">
      <c r="A115" s="1">
        <v>0.54</v>
      </c>
      <c r="C115" s="1">
        <f t="shared" si="21"/>
        <v>0.12421311475409835</v>
      </c>
      <c r="F115" s="1">
        <f>$C$7*荷重解析!$D$1-C115*(荷重解析!$D$1-0.25)</f>
        <v>4.8973204061531578E-2</v>
      </c>
      <c r="J115" s="1">
        <f t="shared" si="22"/>
        <v>6.210655737704918E-4</v>
      </c>
      <c r="AC115" s="1">
        <f t="shared" si="23"/>
        <v>0.24434609527920614</v>
      </c>
      <c r="AI115" s="1">
        <f t="shared" si="24"/>
        <v>-8.903543505796567E-2</v>
      </c>
    </row>
    <row r="116" spans="1:35">
      <c r="A116" s="1">
        <v>0.54500000000000004</v>
      </c>
      <c r="C116" s="1">
        <f t="shared" si="21"/>
        <v>0.12327868852459016</v>
      </c>
      <c r="F116" s="1">
        <f>$C$7*荷重解析!$D$1-C116*(荷重解析!$D$1-0.25)</f>
        <v>4.9105310266868957E-2</v>
      </c>
      <c r="J116" s="1">
        <f t="shared" si="22"/>
        <v>6.1639344262295079E-4</v>
      </c>
      <c r="AC116" s="1">
        <f t="shared" si="23"/>
        <v>0.24434609527920614</v>
      </c>
      <c r="AI116" s="1">
        <f t="shared" si="24"/>
        <v>-8.9183842682183045E-2</v>
      </c>
    </row>
    <row r="117" spans="1:35">
      <c r="A117" s="1">
        <v>0.55000000000000004</v>
      </c>
      <c r="C117" s="1">
        <f t="shared" si="21"/>
        <v>0.12234426229508197</v>
      </c>
      <c r="F117" s="1">
        <f>$C$7*荷重解析!$D$1-C117*(荷重解析!$D$1-0.25)</f>
        <v>4.9237416472206336E-2</v>
      </c>
      <c r="J117" s="1">
        <f t="shared" si="22"/>
        <v>6.1172131147540988E-4</v>
      </c>
      <c r="AC117" s="1">
        <f t="shared" si="23"/>
        <v>0.24434609527920614</v>
      </c>
      <c r="AI117" s="1">
        <f t="shared" si="24"/>
        <v>-8.9319846736634442E-2</v>
      </c>
    </row>
    <row r="118" spans="1:35">
      <c r="A118" s="1">
        <v>0.55500000000000005</v>
      </c>
      <c r="C118" s="1">
        <f t="shared" si="21"/>
        <v>0.12140983606557376</v>
      </c>
      <c r="F118" s="1">
        <f>$C$7*荷重解析!$D$1-C118*(荷重解析!$D$1-0.25)</f>
        <v>4.9369522677543715E-2</v>
      </c>
      <c r="J118" s="1">
        <f t="shared" si="22"/>
        <v>6.0704918032786887E-4</v>
      </c>
      <c r="AC118" s="1">
        <f t="shared" si="23"/>
        <v>0.24434609527920614</v>
      </c>
      <c r="AI118" s="1">
        <f t="shared" si="24"/>
        <v>-8.9443447221319888E-2</v>
      </c>
    </row>
    <row r="119" spans="1:35">
      <c r="A119" s="1">
        <v>0.56000000000000005</v>
      </c>
      <c r="C119" s="1">
        <f t="shared" si="21"/>
        <v>0.12047540983606556</v>
      </c>
      <c r="F119" s="1">
        <f>$C$7*荷重解析!$D$1-C119*(荷重解析!$D$1-0.25)</f>
        <v>4.9501628882881094E-2</v>
      </c>
      <c r="J119" s="1">
        <f t="shared" si="22"/>
        <v>6.0237704918032775E-4</v>
      </c>
      <c r="AC119" s="1">
        <f t="shared" si="23"/>
        <v>0.24434609527920614</v>
      </c>
      <c r="AI119" s="1">
        <f t="shared" si="24"/>
        <v>-8.9554644136239342E-2</v>
      </c>
    </row>
    <row r="120" spans="1:35">
      <c r="A120" s="1">
        <v>0.56499999999999995</v>
      </c>
      <c r="C120" s="1">
        <f t="shared" si="21"/>
        <v>0.11954098360655738</v>
      </c>
      <c r="F120" s="1">
        <f>$C$7*荷重解析!$D$1-C120*(荷重解析!$D$1-0.25)</f>
        <v>4.9633735088218472E-2</v>
      </c>
      <c r="J120" s="1">
        <f t="shared" si="22"/>
        <v>5.9770491803278695E-4</v>
      </c>
      <c r="AC120" s="1">
        <f t="shared" si="23"/>
        <v>0.24434609527920614</v>
      </c>
      <c r="AI120" s="1">
        <f t="shared" si="24"/>
        <v>-8.9653437481392845E-2</v>
      </c>
    </row>
    <row r="121" spans="1:35">
      <c r="A121" s="1">
        <v>0.56999999999999995</v>
      </c>
      <c r="C121" s="1">
        <f t="shared" si="21"/>
        <v>0.1186065573770492</v>
      </c>
      <c r="F121" s="1">
        <f>$C$7*荷重解析!$D$1-C121*(荷重解析!$D$1-0.25)</f>
        <v>4.9765841293555851E-2</v>
      </c>
      <c r="J121" s="1">
        <f t="shared" si="22"/>
        <v>5.9303278688524605E-4</v>
      </c>
      <c r="AC121" s="1">
        <f t="shared" si="23"/>
        <v>0.24434609527920614</v>
      </c>
      <c r="AI121" s="1">
        <f t="shared" si="24"/>
        <v>-8.9739827256780397E-2</v>
      </c>
    </row>
    <row r="122" spans="1:35">
      <c r="A122" s="1">
        <v>0.57499999999999996</v>
      </c>
      <c r="C122" s="1">
        <f t="shared" si="21"/>
        <v>0.11767213114754099</v>
      </c>
      <c r="F122" s="1">
        <f>$C$7*荷重解析!$D$1-C122*(荷重解析!$D$1-0.25)</f>
        <v>4.989794749889323E-2</v>
      </c>
      <c r="J122" s="1">
        <f t="shared" si="22"/>
        <v>5.8836065573770492E-4</v>
      </c>
      <c r="AC122" s="1">
        <f t="shared" si="23"/>
        <v>0.24434609527920614</v>
      </c>
      <c r="AI122" s="1">
        <f t="shared" si="24"/>
        <v>-8.9813813462401942E-2</v>
      </c>
    </row>
    <row r="123" spans="1:35">
      <c r="A123" s="1">
        <v>0.57999999999999996</v>
      </c>
      <c r="C123" s="1">
        <f t="shared" si="21"/>
        <v>0.11673770491803279</v>
      </c>
      <c r="F123" s="1">
        <f>$C$7*荷重解析!$D$1-C123*(荷重解析!$D$1-0.25)</f>
        <v>5.0030053704230609E-2</v>
      </c>
      <c r="J123" s="1">
        <f t="shared" si="22"/>
        <v>5.8368852459016391E-4</v>
      </c>
      <c r="AC123" s="1">
        <f t="shared" si="23"/>
        <v>0.24434609527920614</v>
      </c>
      <c r="AI123" s="1">
        <f t="shared" si="24"/>
        <v>-8.9875396098257537E-2</v>
      </c>
    </row>
    <row r="124" spans="1:35">
      <c r="A124" s="1">
        <v>0.58499999999999996</v>
      </c>
      <c r="C124" s="1">
        <f t="shared" si="21"/>
        <v>0.11580327868852459</v>
      </c>
      <c r="F124" s="1">
        <f>$C$7*荷重解析!$D$1-C124*(荷重解析!$D$1-0.25)</f>
        <v>5.0162159909567988E-2</v>
      </c>
      <c r="J124" s="1">
        <f t="shared" si="22"/>
        <v>5.79016393442623E-4</v>
      </c>
      <c r="AC124" s="1">
        <f t="shared" si="23"/>
        <v>0.24434609527920614</v>
      </c>
      <c r="AI124" s="1">
        <f t="shared" si="24"/>
        <v>-8.9924575164347181E-2</v>
      </c>
    </row>
    <row r="125" spans="1:35">
      <c r="A125" s="1">
        <v>0.59</v>
      </c>
      <c r="C125" s="1">
        <f t="shared" si="21"/>
        <v>0.1148688524590164</v>
      </c>
      <c r="F125" s="1">
        <f>$C$7*荷重解析!$D$1-C125*(荷重解析!$D$1-0.25)</f>
        <v>5.0294266114905367E-2</v>
      </c>
      <c r="J125" s="1">
        <f t="shared" si="22"/>
        <v>5.7434426229508199E-4</v>
      </c>
      <c r="AC125" s="1">
        <f t="shared" si="23"/>
        <v>0.24434609527920614</v>
      </c>
      <c r="AI125" s="1">
        <f t="shared" si="24"/>
        <v>-8.9961350660670833E-2</v>
      </c>
    </row>
    <row r="126" spans="1:35">
      <c r="A126" s="1">
        <v>0.59499999999999997</v>
      </c>
      <c r="C126" s="1">
        <f t="shared" si="21"/>
        <v>0.1139344262295082</v>
      </c>
      <c r="F126" s="1">
        <f>$C$7*荷重解析!$D$1-C126*(荷重解析!$D$1-0.25)</f>
        <v>5.0426372320242746E-2</v>
      </c>
      <c r="J126" s="1">
        <f t="shared" si="22"/>
        <v>5.6967213114754098E-4</v>
      </c>
      <c r="AC126" s="1">
        <f t="shared" si="23"/>
        <v>0.24434609527920614</v>
      </c>
      <c r="AI126" s="1">
        <f t="shared" si="24"/>
        <v>-8.998572258722852E-2</v>
      </c>
    </row>
    <row r="127" spans="1:35">
      <c r="A127" s="1">
        <v>0.6</v>
      </c>
      <c r="C127" s="1">
        <f>(0-0.113)/($A$131-$A$127)*(A127-$A$127)+0.113</f>
        <v>0.113</v>
      </c>
      <c r="F127" s="1">
        <f>$C$7*荷重解析!$D$1-C127*(荷重解析!$D$1-0.25)</f>
        <v>5.0558478525580125E-2</v>
      </c>
      <c r="J127" s="1">
        <f t="shared" si="22"/>
        <v>5.6500000000000007E-4</v>
      </c>
      <c r="AC127" s="1">
        <f t="shared" si="23"/>
        <v>0.24434609527920614</v>
      </c>
      <c r="AI127" s="1">
        <f t="shared" si="24"/>
        <v>-8.9997690944020256E-2</v>
      </c>
    </row>
    <row r="128" spans="1:35">
      <c r="A128" s="1">
        <v>0.60499999999999998</v>
      </c>
      <c r="C128" s="1">
        <f t="shared" ref="C128:C131" si="25">(0-0.113)/($A$131-$A$127)*(A128-$A$127)+0.113</f>
        <v>8.4750000000000006E-2</v>
      </c>
      <c r="F128" s="1">
        <f>$C$7*荷重解析!$D$1-C128*(荷重解析!$D$1-0.25)</f>
        <v>5.4552373584310622E-2</v>
      </c>
      <c r="J128" s="1">
        <f t="shared" si="22"/>
        <v>4.2375000000000003E-4</v>
      </c>
      <c r="AC128" s="1">
        <f t="shared" si="23"/>
        <v>0.24434609527920614</v>
      </c>
      <c r="AI128" s="1">
        <f t="shared" si="24"/>
        <v>-6.8060753776415309E-2</v>
      </c>
    </row>
    <row r="129" spans="1:35">
      <c r="A129" s="1">
        <v>0.61</v>
      </c>
      <c r="C129" s="1">
        <f t="shared" si="25"/>
        <v>5.6500000000000002E-2</v>
      </c>
      <c r="F129" s="1">
        <f>$C$7*荷重解析!$D$1-C129*(荷重解析!$D$1-0.25)</f>
        <v>5.8546268643041119E-2</v>
      </c>
      <c r="J129" s="1">
        <f t="shared" si="22"/>
        <v>2.8250000000000004E-4</v>
      </c>
      <c r="AC129" s="1">
        <f t="shared" si="23"/>
        <v>0.24434609527920614</v>
      </c>
      <c r="AI129" s="1">
        <f t="shared" si="24"/>
        <v>-4.5748826229876964E-2</v>
      </c>
    </row>
    <row r="130" spans="1:35">
      <c r="A130" s="1">
        <v>0.61499999999999999</v>
      </c>
      <c r="C130" s="1">
        <f t="shared" si="25"/>
        <v>2.8249999999999997E-2</v>
      </c>
      <c r="F130" s="1">
        <f>$C$7*荷重解析!$D$1-C130*(荷重解析!$D$1-0.25)</f>
        <v>6.2540163701771623E-2</v>
      </c>
      <c r="J130" s="1">
        <f t="shared" si="22"/>
        <v>1.4124999999999999E-4</v>
      </c>
      <c r="AC130" s="1">
        <f t="shared" si="23"/>
        <v>0.24434609527920614</v>
      </c>
      <c r="AI130" s="1">
        <f t="shared" si="24"/>
        <v>-2.3061908304405188E-2</v>
      </c>
    </row>
    <row r="131" spans="1:35">
      <c r="A131" s="1">
        <v>0.62</v>
      </c>
      <c r="C131" s="1">
        <f t="shared" si="25"/>
        <v>0</v>
      </c>
      <c r="F131" s="1">
        <f>$C$7*荷重解析!$D$1-C131*(荷重解析!$D$1-0.25)</f>
        <v>6.6534058760502113E-2</v>
      </c>
      <c r="J131" s="1">
        <f t="shared" si="22"/>
        <v>0</v>
      </c>
      <c r="AC131" s="1">
        <f t="shared" si="23"/>
        <v>0.24434609527920614</v>
      </c>
      <c r="AI131" s="1">
        <f t="shared" si="24"/>
        <v>0</v>
      </c>
    </row>
  </sheetData>
  <mergeCells count="32">
    <mergeCell ref="AV5:AV6"/>
    <mergeCell ref="AP5:AP6"/>
    <mergeCell ref="AR5:AR6"/>
    <mergeCell ref="AS5:AS6"/>
    <mergeCell ref="AT5:AT6"/>
    <mergeCell ref="AU5:AU6"/>
    <mergeCell ref="AK5:AK6"/>
    <mergeCell ref="AL5:AL6"/>
    <mergeCell ref="AM5:AM6"/>
    <mergeCell ref="AN5:AN6"/>
    <mergeCell ref="AO5:AO6"/>
    <mergeCell ref="AR4:AY4"/>
    <mergeCell ref="S5:S6"/>
    <mergeCell ref="T5:T6"/>
    <mergeCell ref="U5:U6"/>
    <mergeCell ref="V5:V6"/>
    <mergeCell ref="W5:W6"/>
    <mergeCell ref="Y5:Y6"/>
    <mergeCell ref="Z5:Z6"/>
    <mergeCell ref="AA5:AA6"/>
    <mergeCell ref="AB5:AB6"/>
    <mergeCell ref="Y4:AK4"/>
    <mergeCell ref="AC5:AD5"/>
    <mergeCell ref="AH5:AH6"/>
    <mergeCell ref="AI5:AI6"/>
    <mergeCell ref="AJ5:AJ6"/>
    <mergeCell ref="AW5:AX5"/>
    <mergeCell ref="A1:A2"/>
    <mergeCell ref="A4:A6"/>
    <mergeCell ref="B4:B6"/>
    <mergeCell ref="C4:C6"/>
    <mergeCell ref="S4:W4"/>
  </mergeCells>
  <phoneticPr fontId="45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0D9C3-FB9A-43BA-AA46-54968A8E8B27}">
  <sheetPr>
    <tabColor rgb="FFFFFF00"/>
  </sheetPr>
  <dimension ref="A1:AF309"/>
  <sheetViews>
    <sheetView topLeftCell="A19" zoomScale="80" zoomScaleNormal="80" workbookViewId="0">
      <selection activeCell="B36" sqref="B36"/>
    </sheetView>
  </sheetViews>
  <sheetFormatPr baseColWidth="10" defaultColWidth="8.83203125" defaultRowHeight="17"/>
  <cols>
    <col min="2" max="2" width="24" customWidth="1"/>
    <col min="5" max="5" width="21.5" customWidth="1"/>
    <col min="17" max="17" width="25" customWidth="1"/>
    <col min="28" max="29" width="19.1640625" customWidth="1"/>
    <col min="30" max="31" width="11.5" customWidth="1"/>
    <col min="32" max="32" width="24.33203125" customWidth="1"/>
  </cols>
  <sheetData>
    <row r="1" spans="1:32" ht="18.75" customHeight="1">
      <c r="A1" s="120" t="s">
        <v>118</v>
      </c>
      <c r="B1" s="120"/>
      <c r="C1" s="120"/>
    </row>
    <row r="2" spans="1:32" ht="18.75" customHeight="1">
      <c r="A2" s="120"/>
      <c r="B2" s="120"/>
      <c r="C2" s="120"/>
    </row>
    <row r="6" spans="1:32">
      <c r="B6" s="123" t="s">
        <v>165</v>
      </c>
      <c r="C6" s="123"/>
      <c r="F6" t="s">
        <v>130</v>
      </c>
      <c r="H6" t="s">
        <v>131</v>
      </c>
      <c r="J6" t="s">
        <v>132</v>
      </c>
      <c r="L6" t="s">
        <v>133</v>
      </c>
      <c r="R6" t="s">
        <v>130</v>
      </c>
      <c r="T6" t="s">
        <v>131</v>
      </c>
      <c r="V6" t="s">
        <v>132</v>
      </c>
      <c r="X6" t="s">
        <v>133</v>
      </c>
    </row>
    <row r="7" spans="1:32">
      <c r="B7" s="18" t="s">
        <v>136</v>
      </c>
      <c r="C7" s="21">
        <f>SUM(AD9:AD815)</f>
        <v>3.970800000000009</v>
      </c>
      <c r="E7" t="s">
        <v>119</v>
      </c>
      <c r="F7" s="121" t="s">
        <v>129</v>
      </c>
      <c r="G7" s="121"/>
      <c r="H7" s="121"/>
      <c r="I7" s="121"/>
      <c r="J7" s="121"/>
      <c r="K7" s="121"/>
      <c r="L7" s="121"/>
      <c r="M7" s="121"/>
      <c r="Q7" t="s">
        <v>430</v>
      </c>
      <c r="R7" s="121" t="s">
        <v>129</v>
      </c>
      <c r="S7" s="121"/>
      <c r="T7" s="121"/>
      <c r="U7" s="121"/>
      <c r="V7" s="121"/>
      <c r="W7" s="121"/>
      <c r="X7" s="121"/>
      <c r="Y7" s="121"/>
      <c r="AA7" s="121" t="s">
        <v>134</v>
      </c>
      <c r="AB7" s="121"/>
      <c r="AC7" s="121"/>
      <c r="AD7" s="121"/>
      <c r="AE7" s="69"/>
    </row>
    <row r="8" spans="1:32">
      <c r="B8" s="18" t="s">
        <v>137</v>
      </c>
      <c r="C8" s="21">
        <f>SUM(AB9:AB815)</f>
        <v>1270.8023375550533</v>
      </c>
      <c r="E8" t="s">
        <v>128</v>
      </c>
      <c r="F8" s="29" t="s">
        <v>120</v>
      </c>
      <c r="G8" s="29" t="s">
        <v>121</v>
      </c>
      <c r="H8" s="29" t="s">
        <v>122</v>
      </c>
      <c r="I8" s="29" t="s">
        <v>123</v>
      </c>
      <c r="J8" s="29" t="s">
        <v>124</v>
      </c>
      <c r="K8" s="29" t="s">
        <v>126</v>
      </c>
      <c r="L8" s="29" t="s">
        <v>127</v>
      </c>
      <c r="M8" s="29" t="s">
        <v>125</v>
      </c>
      <c r="Q8" t="s">
        <v>128</v>
      </c>
      <c r="R8" s="29" t="s">
        <v>120</v>
      </c>
      <c r="S8" s="29" t="s">
        <v>121</v>
      </c>
      <c r="T8" s="29" t="s">
        <v>122</v>
      </c>
      <c r="U8" s="29" t="s">
        <v>123</v>
      </c>
      <c r="V8" s="29" t="s">
        <v>124</v>
      </c>
      <c r="W8" s="29" t="s">
        <v>126</v>
      </c>
      <c r="X8" s="29" t="s">
        <v>127</v>
      </c>
      <c r="Y8" s="29" t="s">
        <v>125</v>
      </c>
      <c r="AA8" s="29" t="s">
        <v>135</v>
      </c>
      <c r="AB8" s="29" t="s">
        <v>137</v>
      </c>
      <c r="AC8" s="29" t="s">
        <v>151</v>
      </c>
      <c r="AD8" s="29" t="s">
        <v>136</v>
      </c>
      <c r="AE8" s="29"/>
      <c r="AF8" s="29" t="s">
        <v>152</v>
      </c>
    </row>
    <row r="9" spans="1:32">
      <c r="B9" s="18" t="s">
        <v>138</v>
      </c>
      <c r="C9" s="21">
        <f>SUM(AC9:AC308)</f>
        <v>2.2611309895155141</v>
      </c>
      <c r="E9">
        <v>0</v>
      </c>
      <c r="F9">
        <v>-20</v>
      </c>
      <c r="G9">
        <v>20</v>
      </c>
      <c r="H9">
        <v>20</v>
      </c>
      <c r="I9">
        <v>20</v>
      </c>
      <c r="J9">
        <v>20</v>
      </c>
      <c r="K9">
        <v>-20</v>
      </c>
      <c r="L9">
        <v>-20</v>
      </c>
      <c r="M9">
        <v>-20</v>
      </c>
      <c r="Q9">
        <v>0</v>
      </c>
      <c r="R9">
        <v>-20</v>
      </c>
      <c r="S9">
        <v>20</v>
      </c>
      <c r="T9">
        <v>20</v>
      </c>
      <c r="U9">
        <v>20</v>
      </c>
      <c r="V9">
        <v>20</v>
      </c>
      <c r="W9">
        <v>-19.999999999999996</v>
      </c>
      <c r="X9">
        <v>-20</v>
      </c>
      <c r="Y9">
        <v>-19.999999999999996</v>
      </c>
      <c r="AA9">
        <f>SQRT((T9-R9)^2+(U9-S9)^2)+SQRT((V9-T9)^2+(W9-U9)^2)+SQRT((X9-V9)^2+(Y9-W9)^2)+SQRT((R9-X9)^2+(S9-Y9)^2)</f>
        <v>160</v>
      </c>
      <c r="AB9">
        <f>SQRT((R10-R9)^2+(S10-S9)^2+1^2)+SQRT((T10-T9)^2+(U10-U9)^2+1^2)+SQRT((V10-V9)^2+(W10-W9)^2+1^2)+SQRT((X10-X9)^2+(Y10-Y9)^2+1^2)</f>
        <v>4</v>
      </c>
      <c r="AC9">
        <f>AB9/1000*一般構造素材物性!$I$37</f>
        <v>7.4999999999999997E-3</v>
      </c>
      <c r="AD9">
        <f>AA9/1000*0.001*一般構造素材物性!$H$19</f>
        <v>1.4400000000000001E-2</v>
      </c>
      <c r="AF9">
        <f>(AC9+AD9)*(Q9-$Q$9)</f>
        <v>0</v>
      </c>
    </row>
    <row r="10" spans="1:32">
      <c r="B10" s="18" t="s">
        <v>209</v>
      </c>
      <c r="C10" s="21">
        <v>640</v>
      </c>
      <c r="E10">
        <v>200</v>
      </c>
      <c r="F10">
        <v>-20</v>
      </c>
      <c r="G10">
        <v>20</v>
      </c>
      <c r="H10">
        <v>20</v>
      </c>
      <c r="I10">
        <v>20</v>
      </c>
      <c r="J10">
        <v>20</v>
      </c>
      <c r="K10">
        <v>-20</v>
      </c>
      <c r="L10">
        <v>-20</v>
      </c>
      <c r="M10">
        <v>-20</v>
      </c>
      <c r="Q10">
        <v>0.01</v>
      </c>
      <c r="R10">
        <v>-20</v>
      </c>
      <c r="S10">
        <v>20</v>
      </c>
      <c r="T10">
        <v>20</v>
      </c>
      <c r="U10">
        <v>20</v>
      </c>
      <c r="V10">
        <v>20</v>
      </c>
      <c r="W10">
        <v>-19.999999999999996</v>
      </c>
      <c r="X10">
        <v>-20</v>
      </c>
      <c r="Y10">
        <v>-19.999999999999996</v>
      </c>
      <c r="AA10">
        <f t="shared" ref="AA10:AA73" si="0">SQRT((T10-R10)^2+(U10-S10)^2)+SQRT((V10-T10)^2+(W10-U10)^2)+SQRT((X10-V10)^2+(Y10-W10)^2)+SQRT((R10-X10)^2+(S10-Y10)^2)</f>
        <v>160</v>
      </c>
      <c r="AB10">
        <f t="shared" ref="AB10:AB73" si="1">SQRT((R11-R10)^2+(S11-S10)^2+1^2)+SQRT((T11-T10)^2+(U11-U10)^2+1^2)+SQRT((V11-V10)^2+(W11-W10)^2+1^2)+SQRT((X11-X10)^2+(Y11-Y10)^2+1^2)</f>
        <v>4</v>
      </c>
      <c r="AC10">
        <f>AB10/1000*一般構造素材物性!$I$37</f>
        <v>7.4999999999999997E-3</v>
      </c>
      <c r="AD10">
        <f>AA10/1000*0.001*一般構造素材物性!$H$19</f>
        <v>1.4400000000000001E-2</v>
      </c>
      <c r="AF10">
        <f t="shared" ref="AF10:AF73" si="2">(AC10+AD10)*(Q10-$Q$9)</f>
        <v>2.1900000000000004E-4</v>
      </c>
    </row>
    <row r="11" spans="1:32">
      <c r="B11" s="18" t="s">
        <v>208</v>
      </c>
      <c r="C11" s="21">
        <f>(C10-200)*一般構造素材物性!I43/1000</f>
        <v>5.0116000000000005</v>
      </c>
      <c r="E11">
        <v>300</v>
      </c>
      <c r="F11">
        <v>-10</v>
      </c>
      <c r="G11">
        <v>20</v>
      </c>
      <c r="H11">
        <v>10</v>
      </c>
      <c r="I11">
        <v>20</v>
      </c>
      <c r="J11">
        <v>10</v>
      </c>
      <c r="K11">
        <v>0</v>
      </c>
      <c r="L11">
        <v>-10</v>
      </c>
      <c r="M11">
        <v>0</v>
      </c>
      <c r="Q11">
        <v>0.02</v>
      </c>
      <c r="R11">
        <v>-20</v>
      </c>
      <c r="S11">
        <v>20</v>
      </c>
      <c r="T11">
        <v>20</v>
      </c>
      <c r="U11">
        <v>20</v>
      </c>
      <c r="V11">
        <v>20</v>
      </c>
      <c r="W11">
        <v>-19.999999999999996</v>
      </c>
      <c r="X11">
        <v>-20</v>
      </c>
      <c r="Y11">
        <v>-19.999999999999996</v>
      </c>
      <c r="AA11">
        <f t="shared" si="0"/>
        <v>160</v>
      </c>
      <c r="AB11">
        <f t="shared" si="1"/>
        <v>4</v>
      </c>
      <c r="AC11">
        <f>AB11/1000*一般構造素材物性!$I$37</f>
        <v>7.4999999999999997E-3</v>
      </c>
      <c r="AD11">
        <f>AA11/1000*0.001*一般構造素材物性!$H$19</f>
        <v>1.4400000000000001E-2</v>
      </c>
      <c r="AF11">
        <f t="shared" si="2"/>
        <v>4.3800000000000008E-4</v>
      </c>
    </row>
    <row r="12" spans="1:32">
      <c r="B12" s="18" t="s">
        <v>139</v>
      </c>
      <c r="C12" s="21">
        <f>C7+C9+C11</f>
        <v>11.243530989515524</v>
      </c>
      <c r="Q12">
        <v>0.03</v>
      </c>
      <c r="R12">
        <v>-20</v>
      </c>
      <c r="S12">
        <v>20</v>
      </c>
      <c r="T12">
        <v>20</v>
      </c>
      <c r="U12">
        <v>20</v>
      </c>
      <c r="V12">
        <v>20</v>
      </c>
      <c r="W12">
        <v>-19.999999999999996</v>
      </c>
      <c r="X12">
        <v>-20</v>
      </c>
      <c r="Y12">
        <v>-19.999999999999996</v>
      </c>
      <c r="AA12">
        <f t="shared" si="0"/>
        <v>160</v>
      </c>
      <c r="AB12">
        <f t="shared" si="1"/>
        <v>4</v>
      </c>
      <c r="AC12">
        <f>AB12/1000*一般構造素材物性!$I$37</f>
        <v>7.4999999999999997E-3</v>
      </c>
      <c r="AD12">
        <f>AA12/1000*0.001*一般構造素材物性!$H$19</f>
        <v>1.4400000000000001E-2</v>
      </c>
      <c r="AF12">
        <f t="shared" si="2"/>
        <v>6.5700000000000003E-4</v>
      </c>
    </row>
    <row r="13" spans="1:32">
      <c r="B13" s="18" t="s">
        <v>153</v>
      </c>
      <c r="C13" s="21">
        <f>SUM(AF9:AF509)</f>
        <v>918.63633490418215</v>
      </c>
      <c r="Q13">
        <v>0.04</v>
      </c>
      <c r="R13">
        <v>-20</v>
      </c>
      <c r="S13">
        <v>20</v>
      </c>
      <c r="T13">
        <v>20</v>
      </c>
      <c r="U13">
        <v>20</v>
      </c>
      <c r="V13">
        <v>20</v>
      </c>
      <c r="W13">
        <v>-19.999999999999996</v>
      </c>
      <c r="X13">
        <v>-20</v>
      </c>
      <c r="Y13">
        <v>-19.999999999999996</v>
      </c>
      <c r="AA13">
        <f t="shared" si="0"/>
        <v>160</v>
      </c>
      <c r="AB13">
        <f t="shared" si="1"/>
        <v>4</v>
      </c>
      <c r="AC13">
        <f>AB13/1000*一般構造素材物性!$I$37</f>
        <v>7.4999999999999997E-3</v>
      </c>
      <c r="AD13">
        <f>AA13/1000*0.001*一般構造素材物性!$H$19</f>
        <v>1.4400000000000001E-2</v>
      </c>
      <c r="AF13">
        <f t="shared" si="2"/>
        <v>8.7600000000000015E-4</v>
      </c>
    </row>
    <row r="14" spans="1:32">
      <c r="B14" s="31" t="s">
        <v>155</v>
      </c>
      <c r="C14" s="16">
        <f>C10</f>
        <v>640</v>
      </c>
      <c r="Q14">
        <v>0.05</v>
      </c>
      <c r="R14">
        <v>-20</v>
      </c>
      <c r="S14">
        <v>20</v>
      </c>
      <c r="T14">
        <v>20</v>
      </c>
      <c r="U14">
        <v>20</v>
      </c>
      <c r="V14">
        <v>20</v>
      </c>
      <c r="W14">
        <v>-19.999999999999996</v>
      </c>
      <c r="X14">
        <v>-20</v>
      </c>
      <c r="Y14">
        <v>-19.999999999999996</v>
      </c>
      <c r="AA14">
        <f t="shared" si="0"/>
        <v>160</v>
      </c>
      <c r="AB14">
        <f t="shared" si="1"/>
        <v>4</v>
      </c>
      <c r="AC14">
        <f>AB14/1000*一般構造素材物性!$I$37</f>
        <v>7.4999999999999997E-3</v>
      </c>
      <c r="AD14">
        <f>AA14/1000*0.001*一般構造素材物性!$H$19</f>
        <v>1.4400000000000001E-2</v>
      </c>
      <c r="AF14">
        <f t="shared" si="2"/>
        <v>1.0950000000000003E-3</v>
      </c>
    </row>
    <row r="15" spans="1:32">
      <c r="B15" s="31" t="s">
        <v>157</v>
      </c>
      <c r="C15" s="16">
        <f>(尾翼計算!G21+尾翼計算!J21+尾翼計算!G24)</f>
        <v>3</v>
      </c>
      <c r="Q15">
        <v>0.06</v>
      </c>
      <c r="R15">
        <v>-20</v>
      </c>
      <c r="S15">
        <v>20</v>
      </c>
      <c r="T15">
        <v>20</v>
      </c>
      <c r="U15">
        <v>20</v>
      </c>
      <c r="V15">
        <v>20</v>
      </c>
      <c r="W15">
        <v>-19.999999999999996</v>
      </c>
      <c r="X15">
        <v>-20</v>
      </c>
      <c r="Y15">
        <v>-19.999999999999996</v>
      </c>
      <c r="AA15">
        <f t="shared" si="0"/>
        <v>160</v>
      </c>
      <c r="AB15">
        <f t="shared" si="1"/>
        <v>4</v>
      </c>
      <c r="AC15">
        <f>AB15/1000*一般構造素材物性!$I$37</f>
        <v>7.4999999999999997E-3</v>
      </c>
      <c r="AD15">
        <f>AA15/1000*0.001*一般構造素材物性!$H$19</f>
        <v>1.4400000000000001E-2</v>
      </c>
      <c r="AF15">
        <f t="shared" si="2"/>
        <v>1.3140000000000001E-3</v>
      </c>
    </row>
    <row r="16" spans="1:32">
      <c r="B16" s="31" t="s">
        <v>156</v>
      </c>
      <c r="C16" s="16">
        <f>(尾翼計算!G21+尾翼計算!J21)*胴体設計!C14</f>
        <v>0</v>
      </c>
      <c r="Q16">
        <v>7.0000000000000007E-2</v>
      </c>
      <c r="R16">
        <v>-20</v>
      </c>
      <c r="S16">
        <v>20</v>
      </c>
      <c r="T16">
        <v>20</v>
      </c>
      <c r="U16">
        <v>20</v>
      </c>
      <c r="V16">
        <v>20</v>
      </c>
      <c r="W16">
        <v>-19.999999999999996</v>
      </c>
      <c r="X16">
        <v>-20</v>
      </c>
      <c r="Y16">
        <v>-19.999999999999996</v>
      </c>
      <c r="AA16">
        <f t="shared" si="0"/>
        <v>160</v>
      </c>
      <c r="AB16">
        <f t="shared" si="1"/>
        <v>4</v>
      </c>
      <c r="AC16">
        <f>AB16/1000*一般構造素材物性!$I$37</f>
        <v>7.4999999999999997E-3</v>
      </c>
      <c r="AD16">
        <f>AA16/1000*0.001*一般構造素材物性!$H$19</f>
        <v>1.4400000000000001E-2</v>
      </c>
      <c r="AF16">
        <f t="shared" si="2"/>
        <v>1.5330000000000003E-3</v>
      </c>
    </row>
    <row r="17" spans="2:32">
      <c r="B17" s="31" t="s">
        <v>164</v>
      </c>
      <c r="C17" s="16" t="e">
        <f>C14-C39</f>
        <v>#REF!</v>
      </c>
      <c r="Q17">
        <v>0.08</v>
      </c>
      <c r="R17">
        <v>-20</v>
      </c>
      <c r="S17">
        <v>20</v>
      </c>
      <c r="T17">
        <v>20</v>
      </c>
      <c r="U17">
        <v>20</v>
      </c>
      <c r="V17">
        <v>20</v>
      </c>
      <c r="W17">
        <v>-19.999999999999996</v>
      </c>
      <c r="X17">
        <v>-20</v>
      </c>
      <c r="Y17">
        <v>-19.999999999999996</v>
      </c>
      <c r="AA17">
        <f t="shared" si="0"/>
        <v>160</v>
      </c>
      <c r="AB17">
        <f t="shared" si="1"/>
        <v>4</v>
      </c>
      <c r="AC17">
        <f>AB17/1000*一般構造素材物性!$I$37</f>
        <v>7.4999999999999997E-3</v>
      </c>
      <c r="AD17">
        <f>AA17/1000*0.001*一般構造素材物性!$H$19</f>
        <v>1.4400000000000001E-2</v>
      </c>
      <c r="AF17">
        <f t="shared" si="2"/>
        <v>1.7520000000000003E-3</v>
      </c>
    </row>
    <row r="18" spans="2:32">
      <c r="B18" s="18" t="s">
        <v>171</v>
      </c>
      <c r="C18" s="21">
        <f>(C13+C16+SUM(胴体設計!C25:C28))/(C12+C15+プロパティ!D38)</f>
        <v>38.450435790562153</v>
      </c>
      <c r="Q18">
        <v>0.09</v>
      </c>
      <c r="R18">
        <v>-20</v>
      </c>
      <c r="S18">
        <v>20</v>
      </c>
      <c r="T18">
        <v>20</v>
      </c>
      <c r="U18">
        <v>20</v>
      </c>
      <c r="V18">
        <v>20</v>
      </c>
      <c r="W18">
        <v>-19.999999999999996</v>
      </c>
      <c r="X18">
        <v>-20</v>
      </c>
      <c r="Y18">
        <v>-19.999999999999996</v>
      </c>
      <c r="AA18">
        <f t="shared" si="0"/>
        <v>160</v>
      </c>
      <c r="AB18">
        <f t="shared" si="1"/>
        <v>4</v>
      </c>
      <c r="AC18">
        <f>AB18/1000*一般構造素材物性!$I$37</f>
        <v>7.4999999999999997E-3</v>
      </c>
      <c r="AD18">
        <f>AA18/1000*0.001*一般構造素材物性!$H$19</f>
        <v>1.4400000000000001E-2</v>
      </c>
      <c r="AF18">
        <f t="shared" si="2"/>
        <v>1.9710000000000001E-3</v>
      </c>
    </row>
    <row r="19" spans="2:32">
      <c r="Q19">
        <v>0.1</v>
      </c>
      <c r="R19">
        <v>-20</v>
      </c>
      <c r="S19">
        <v>20</v>
      </c>
      <c r="T19">
        <v>20</v>
      </c>
      <c r="U19">
        <v>20</v>
      </c>
      <c r="V19">
        <v>20</v>
      </c>
      <c r="W19">
        <v>-19.999999999999996</v>
      </c>
      <c r="X19">
        <v>-20</v>
      </c>
      <c r="Y19">
        <v>-19.999999999999996</v>
      </c>
      <c r="AA19">
        <f t="shared" si="0"/>
        <v>160</v>
      </c>
      <c r="AB19">
        <f t="shared" si="1"/>
        <v>4</v>
      </c>
      <c r="AC19">
        <f>AB19/1000*一般構造素材物性!$I$37</f>
        <v>7.4999999999999997E-3</v>
      </c>
      <c r="AD19">
        <f>AA19/1000*0.001*一般構造素材物性!$H$19</f>
        <v>1.4400000000000001E-2</v>
      </c>
      <c r="AF19">
        <f t="shared" si="2"/>
        <v>2.1900000000000005E-3</v>
      </c>
    </row>
    <row r="20" spans="2:32">
      <c r="B20" s="122" t="s">
        <v>166</v>
      </c>
      <c r="C20" s="122"/>
      <c r="Q20">
        <v>0.11</v>
      </c>
      <c r="R20">
        <v>-20</v>
      </c>
      <c r="S20">
        <v>20</v>
      </c>
      <c r="T20">
        <v>20</v>
      </c>
      <c r="U20">
        <v>20</v>
      </c>
      <c r="V20">
        <v>20</v>
      </c>
      <c r="W20">
        <v>-19.999999999999996</v>
      </c>
      <c r="X20">
        <v>-20</v>
      </c>
      <c r="Y20">
        <v>-19.999999999999996</v>
      </c>
      <c r="AA20">
        <f t="shared" si="0"/>
        <v>160</v>
      </c>
      <c r="AB20">
        <f t="shared" si="1"/>
        <v>4</v>
      </c>
      <c r="AC20">
        <f>AB20/1000*一般構造素材物性!$I$37</f>
        <v>7.4999999999999997E-3</v>
      </c>
      <c r="AD20">
        <f>AA20/1000*0.001*一般構造素材物性!$H$19</f>
        <v>1.4400000000000001E-2</v>
      </c>
      <c r="AF20">
        <f t="shared" si="2"/>
        <v>2.4090000000000001E-3</v>
      </c>
    </row>
    <row r="21" spans="2:32">
      <c r="B21" s="37" t="s">
        <v>431</v>
      </c>
      <c r="C21" s="38">
        <v>0</v>
      </c>
      <c r="Q21">
        <v>0.12</v>
      </c>
      <c r="R21">
        <v>-20</v>
      </c>
      <c r="S21">
        <v>20</v>
      </c>
      <c r="T21">
        <v>20</v>
      </c>
      <c r="U21">
        <v>20</v>
      </c>
      <c r="V21">
        <v>20</v>
      </c>
      <c r="W21">
        <v>-19.999999999999996</v>
      </c>
      <c r="X21">
        <v>-20</v>
      </c>
      <c r="Y21">
        <v>-19.999999999999996</v>
      </c>
      <c r="AA21">
        <f t="shared" si="0"/>
        <v>160</v>
      </c>
      <c r="AB21">
        <f t="shared" si="1"/>
        <v>4</v>
      </c>
      <c r="AC21">
        <f>AB21/1000*一般構造素材物性!$I$37</f>
        <v>7.4999999999999997E-3</v>
      </c>
      <c r="AD21">
        <f>AA21/1000*0.001*一般構造素材物性!$H$19</f>
        <v>1.4400000000000001E-2</v>
      </c>
      <c r="AF21">
        <f t="shared" si="2"/>
        <v>2.6280000000000001E-3</v>
      </c>
    </row>
    <row r="22" spans="2:32">
      <c r="B22" s="37" t="s">
        <v>432</v>
      </c>
      <c r="C22" s="38">
        <v>0.03</v>
      </c>
      <c r="Q22">
        <v>0.13</v>
      </c>
      <c r="R22">
        <v>-20</v>
      </c>
      <c r="S22">
        <v>20</v>
      </c>
      <c r="T22">
        <v>20</v>
      </c>
      <c r="U22">
        <v>20</v>
      </c>
      <c r="V22">
        <v>20</v>
      </c>
      <c r="W22">
        <v>-19.999999999999996</v>
      </c>
      <c r="X22">
        <v>-20</v>
      </c>
      <c r="Y22">
        <v>-19.999999999999996</v>
      </c>
      <c r="AA22">
        <f t="shared" si="0"/>
        <v>160</v>
      </c>
      <c r="AB22">
        <f t="shared" si="1"/>
        <v>4</v>
      </c>
      <c r="AC22">
        <f>AB22/1000*一般構造素材物性!$I$37</f>
        <v>7.4999999999999997E-3</v>
      </c>
      <c r="AD22">
        <f>AA22/1000*0.001*一般構造素材物性!$H$19</f>
        <v>1.4400000000000001E-2</v>
      </c>
      <c r="AF22">
        <f t="shared" si="2"/>
        <v>2.8470000000000006E-3</v>
      </c>
    </row>
    <row r="23" spans="2:32">
      <c r="B23" s="37" t="s">
        <v>158</v>
      </c>
      <c r="C23" s="38">
        <v>70</v>
      </c>
      <c r="Q23">
        <v>0.14000000000000001</v>
      </c>
      <c r="R23">
        <v>-20</v>
      </c>
      <c r="S23">
        <v>20</v>
      </c>
      <c r="T23">
        <v>20</v>
      </c>
      <c r="U23">
        <v>20</v>
      </c>
      <c r="V23">
        <v>20</v>
      </c>
      <c r="W23">
        <v>-19.999999999999996</v>
      </c>
      <c r="X23">
        <v>-20</v>
      </c>
      <c r="Y23">
        <v>-19.999999999999996</v>
      </c>
      <c r="AA23">
        <f t="shared" si="0"/>
        <v>160</v>
      </c>
      <c r="AB23">
        <f t="shared" si="1"/>
        <v>4</v>
      </c>
      <c r="AC23">
        <f>AB23/1000*一般構造素材物性!$I$37</f>
        <v>7.4999999999999997E-3</v>
      </c>
      <c r="AD23">
        <f>AA23/1000*0.001*一般構造素材物性!$H$19</f>
        <v>1.4400000000000001E-2</v>
      </c>
      <c r="AF23">
        <f t="shared" si="2"/>
        <v>3.0660000000000006E-3</v>
      </c>
    </row>
    <row r="24" spans="2:32">
      <c r="B24" s="37" t="s">
        <v>159</v>
      </c>
      <c r="C24" s="38">
        <v>100</v>
      </c>
      <c r="Q24">
        <v>0.15</v>
      </c>
      <c r="R24">
        <v>-20</v>
      </c>
      <c r="S24">
        <v>20</v>
      </c>
      <c r="T24">
        <v>20</v>
      </c>
      <c r="U24">
        <v>20</v>
      </c>
      <c r="V24">
        <v>20</v>
      </c>
      <c r="W24">
        <v>-19.999999999999996</v>
      </c>
      <c r="X24">
        <v>-20</v>
      </c>
      <c r="Y24">
        <v>-19.999999999999996</v>
      </c>
      <c r="AA24">
        <f t="shared" si="0"/>
        <v>160</v>
      </c>
      <c r="AB24">
        <f t="shared" si="1"/>
        <v>4</v>
      </c>
      <c r="AC24">
        <f>AB24/1000*一般構造素材物性!$I$37</f>
        <v>7.4999999999999997E-3</v>
      </c>
      <c r="AD24">
        <f>AA24/1000*0.001*一般構造素材物性!$H$19</f>
        <v>1.4400000000000001E-2</v>
      </c>
      <c r="AF24">
        <f t="shared" si="2"/>
        <v>3.2850000000000002E-3</v>
      </c>
    </row>
    <row r="25" spans="2:32">
      <c r="B25" s="37" t="s">
        <v>163</v>
      </c>
      <c r="C25" s="38">
        <f>C21*一般構造素材物性!J53</f>
        <v>0</v>
      </c>
      <c r="Q25">
        <v>0.16</v>
      </c>
      <c r="R25">
        <v>-20</v>
      </c>
      <c r="S25">
        <v>20</v>
      </c>
      <c r="T25">
        <v>20</v>
      </c>
      <c r="U25">
        <v>20</v>
      </c>
      <c r="V25">
        <v>20</v>
      </c>
      <c r="W25">
        <v>-19.999999999999996</v>
      </c>
      <c r="X25">
        <v>-20</v>
      </c>
      <c r="Y25">
        <v>-19.999999999999996</v>
      </c>
      <c r="AA25">
        <f t="shared" si="0"/>
        <v>160</v>
      </c>
      <c r="AB25">
        <f t="shared" si="1"/>
        <v>4</v>
      </c>
      <c r="AC25">
        <f>AB25/1000*一般構造素材物性!$I$37</f>
        <v>7.4999999999999997E-3</v>
      </c>
      <c r="AD25">
        <f>AA25/1000*0.001*一般構造素材物性!$H$19</f>
        <v>1.4400000000000001E-2</v>
      </c>
      <c r="AF25">
        <f t="shared" si="2"/>
        <v>3.5040000000000006E-3</v>
      </c>
    </row>
    <row r="26" spans="2:32">
      <c r="B26" s="37" t="s">
        <v>160</v>
      </c>
      <c r="C26" s="38">
        <f>C22*一般構造素材物性!J51</f>
        <v>0.85199999999999998</v>
      </c>
      <c r="Q26">
        <v>0.17</v>
      </c>
      <c r="R26">
        <v>-20</v>
      </c>
      <c r="S26">
        <v>20</v>
      </c>
      <c r="T26">
        <v>20</v>
      </c>
      <c r="U26">
        <v>20</v>
      </c>
      <c r="V26">
        <v>20</v>
      </c>
      <c r="W26">
        <v>-19.999999999999996</v>
      </c>
      <c r="X26">
        <v>-20</v>
      </c>
      <c r="Y26">
        <v>-19.999999999999996</v>
      </c>
      <c r="AA26">
        <f t="shared" si="0"/>
        <v>160</v>
      </c>
      <c r="AB26">
        <f t="shared" si="1"/>
        <v>4</v>
      </c>
      <c r="AC26">
        <f>AB26/1000*一般構造素材物性!$I$37</f>
        <v>7.4999999999999997E-3</v>
      </c>
      <c r="AD26">
        <f>AA26/1000*0.001*一般構造素材物性!$H$19</f>
        <v>1.4400000000000001E-2</v>
      </c>
      <c r="AF26">
        <f t="shared" si="2"/>
        <v>3.7230000000000006E-3</v>
      </c>
    </row>
    <row r="27" spans="2:32">
      <c r="B27" s="37" t="s">
        <v>161</v>
      </c>
      <c r="C27" s="38">
        <f>C23*一般構造素材物性!J55*2</f>
        <v>1414</v>
      </c>
      <c r="Q27">
        <v>0.18</v>
      </c>
      <c r="R27">
        <v>-20</v>
      </c>
      <c r="S27">
        <v>20</v>
      </c>
      <c r="T27">
        <v>20</v>
      </c>
      <c r="U27">
        <v>20</v>
      </c>
      <c r="V27">
        <v>20</v>
      </c>
      <c r="W27">
        <v>-19.999999999999996</v>
      </c>
      <c r="X27">
        <v>-20</v>
      </c>
      <c r="Y27">
        <v>-19.999999999999996</v>
      </c>
      <c r="AA27">
        <f t="shared" si="0"/>
        <v>160</v>
      </c>
      <c r="AB27">
        <f t="shared" si="1"/>
        <v>4</v>
      </c>
      <c r="AC27">
        <f>AB27/1000*一般構造素材物性!$I$37</f>
        <v>7.4999999999999997E-3</v>
      </c>
      <c r="AD27">
        <f>AA27/1000*0.001*一般構造素材物性!$H$19</f>
        <v>1.4400000000000001E-2</v>
      </c>
      <c r="AF27">
        <f t="shared" si="2"/>
        <v>3.9420000000000002E-3</v>
      </c>
    </row>
    <row r="28" spans="2:32">
      <c r="B28" s="37" t="s">
        <v>162</v>
      </c>
      <c r="C28" s="38">
        <f>C24*一般構造素材物性!J54</f>
        <v>2039.9999999999998</v>
      </c>
      <c r="Q28">
        <v>0.19</v>
      </c>
      <c r="R28">
        <v>-20</v>
      </c>
      <c r="S28">
        <v>20</v>
      </c>
      <c r="T28">
        <v>20</v>
      </c>
      <c r="U28">
        <v>20</v>
      </c>
      <c r="V28">
        <v>20</v>
      </c>
      <c r="W28">
        <v>-19.999999999999996</v>
      </c>
      <c r="X28">
        <v>-20</v>
      </c>
      <c r="Y28">
        <v>-19.999999999999996</v>
      </c>
      <c r="AA28">
        <f t="shared" si="0"/>
        <v>160</v>
      </c>
      <c r="AB28">
        <f t="shared" si="1"/>
        <v>4</v>
      </c>
      <c r="AC28">
        <f>AB28/1000*一般構造素材物性!$I$37</f>
        <v>7.4999999999999997E-3</v>
      </c>
      <c r="AD28">
        <f>AA28/1000*0.001*一般構造素材物性!$H$19</f>
        <v>1.4400000000000001E-2</v>
      </c>
      <c r="AF28">
        <f t="shared" si="2"/>
        <v>4.1610000000000006E-3</v>
      </c>
    </row>
    <row r="29" spans="2:32">
      <c r="Q29">
        <v>0.2</v>
      </c>
      <c r="R29">
        <v>-20</v>
      </c>
      <c r="S29">
        <v>20</v>
      </c>
      <c r="T29">
        <v>20</v>
      </c>
      <c r="U29">
        <v>20</v>
      </c>
      <c r="V29">
        <v>20</v>
      </c>
      <c r="W29">
        <v>-19.999999999999996</v>
      </c>
      <c r="X29">
        <v>-20</v>
      </c>
      <c r="Y29">
        <v>-19.999999999999996</v>
      </c>
      <c r="AA29">
        <f t="shared" si="0"/>
        <v>160</v>
      </c>
      <c r="AB29">
        <f>SQRT((R30-R29)^2+(S30-S29)^2+1^2)+SQRT((T30-T29)^2+(U30-U29)^2+1^2)+SQRT((V30-V29)^2+(W30-W29)^2+1^2)+SQRT((X30-X29)^2+(Y30-Y29)^2+1^2)</f>
        <v>4</v>
      </c>
      <c r="AC29">
        <f>AB29/1000*一般構造素材物性!$I$37</f>
        <v>7.4999999999999997E-3</v>
      </c>
      <c r="AD29">
        <f>AA29/1000*0.001*一般構造素材物性!$H$19</f>
        <v>1.4400000000000001E-2</v>
      </c>
      <c r="AF29">
        <f t="shared" si="2"/>
        <v>4.3800000000000011E-3</v>
      </c>
    </row>
    <row r="30" spans="2:32">
      <c r="B30" s="124" t="s">
        <v>167</v>
      </c>
      <c r="C30" s="124"/>
      <c r="Q30">
        <v>0.21</v>
      </c>
      <c r="R30">
        <v>-20</v>
      </c>
      <c r="S30">
        <v>20</v>
      </c>
      <c r="T30">
        <v>20</v>
      </c>
      <c r="U30">
        <v>20</v>
      </c>
      <c r="V30">
        <v>20</v>
      </c>
      <c r="W30">
        <v>-19.999999999999996</v>
      </c>
      <c r="X30">
        <v>-20</v>
      </c>
      <c r="Y30">
        <v>-19.999999999999996</v>
      </c>
      <c r="AA30">
        <f t="shared" si="0"/>
        <v>160</v>
      </c>
      <c r="AB30">
        <f t="shared" si="1"/>
        <v>4</v>
      </c>
      <c r="AC30">
        <f>AB30/1000*一般構造素材物性!$I$37</f>
        <v>7.4999999999999997E-3</v>
      </c>
      <c r="AD30">
        <f>AA30/1000*0.001*一般構造素材物性!$H$19</f>
        <v>1.4400000000000001E-2</v>
      </c>
      <c r="AF30">
        <f t="shared" si="2"/>
        <v>4.5990000000000007E-3</v>
      </c>
    </row>
    <row r="31" spans="2:32">
      <c r="B31" s="33" t="s">
        <v>168</v>
      </c>
      <c r="C31" s="34">
        <v>112</v>
      </c>
      <c r="Q31">
        <v>0.22</v>
      </c>
      <c r="R31">
        <v>-20</v>
      </c>
      <c r="S31">
        <v>20</v>
      </c>
      <c r="T31">
        <v>20</v>
      </c>
      <c r="U31">
        <v>20</v>
      </c>
      <c r="V31">
        <v>20</v>
      </c>
      <c r="W31">
        <v>-19.999999999999996</v>
      </c>
      <c r="X31">
        <v>-20</v>
      </c>
      <c r="Y31">
        <v>-19.999999999999996</v>
      </c>
      <c r="AA31">
        <f t="shared" si="0"/>
        <v>160</v>
      </c>
      <c r="AB31">
        <f t="shared" si="1"/>
        <v>4</v>
      </c>
      <c r="AC31">
        <f>AB31/1000*一般構造素材物性!$I$37</f>
        <v>7.4999999999999997E-3</v>
      </c>
      <c r="AD31">
        <f>AA31/1000*0.001*一般構造素材物性!$H$19</f>
        <v>1.4400000000000001E-2</v>
      </c>
      <c r="AF31">
        <f t="shared" si="2"/>
        <v>4.8180000000000002E-3</v>
      </c>
    </row>
    <row r="32" spans="2:32">
      <c r="B32" s="33" t="s">
        <v>170</v>
      </c>
      <c r="C32" s="34">
        <v>85</v>
      </c>
      <c r="Q32">
        <v>0.23</v>
      </c>
      <c r="R32">
        <v>-20</v>
      </c>
      <c r="S32">
        <v>20</v>
      </c>
      <c r="T32">
        <v>20</v>
      </c>
      <c r="U32">
        <v>20</v>
      </c>
      <c r="V32">
        <v>20</v>
      </c>
      <c r="W32">
        <v>-19.999999999999996</v>
      </c>
      <c r="X32">
        <v>-20</v>
      </c>
      <c r="Y32">
        <v>-19.999999999999996</v>
      </c>
      <c r="AA32">
        <f t="shared" si="0"/>
        <v>160</v>
      </c>
      <c r="AB32">
        <f t="shared" si="1"/>
        <v>4</v>
      </c>
      <c r="AC32">
        <f>AB32/1000*一般構造素材物性!$I$37</f>
        <v>7.4999999999999997E-3</v>
      </c>
      <c r="AD32">
        <f>AA32/1000*0.001*一般構造素材物性!$H$19</f>
        <v>1.4400000000000001E-2</v>
      </c>
      <c r="AF32">
        <f t="shared" si="2"/>
        <v>5.0370000000000007E-3</v>
      </c>
    </row>
    <row r="33" spans="2:32">
      <c r="B33" s="33" t="s">
        <v>169</v>
      </c>
      <c r="C33" s="34" t="e">
        <f>プロパティ!D37*(胴体設計!C31+C32)</f>
        <v>#REF!</v>
      </c>
      <c r="Q33">
        <v>0.24</v>
      </c>
      <c r="R33">
        <v>-20</v>
      </c>
      <c r="S33">
        <v>20</v>
      </c>
      <c r="T33">
        <v>20</v>
      </c>
      <c r="U33">
        <v>20</v>
      </c>
      <c r="V33">
        <v>20</v>
      </c>
      <c r="W33">
        <v>-19.999999999999996</v>
      </c>
      <c r="X33">
        <v>-20</v>
      </c>
      <c r="Y33">
        <v>-19.999999999999996</v>
      </c>
      <c r="AA33">
        <f t="shared" si="0"/>
        <v>160</v>
      </c>
      <c r="AB33">
        <f t="shared" si="1"/>
        <v>4</v>
      </c>
      <c r="AC33">
        <f>AB33/1000*一般構造素材物性!$I$37</f>
        <v>7.4999999999999997E-3</v>
      </c>
      <c r="AD33">
        <f>AA33/1000*0.001*一般構造素材物性!$H$19</f>
        <v>1.4400000000000001E-2</v>
      </c>
      <c r="AF33">
        <f t="shared" si="2"/>
        <v>5.2560000000000003E-3</v>
      </c>
    </row>
    <row r="34" spans="2:32">
      <c r="B34" s="33" t="s">
        <v>174</v>
      </c>
      <c r="C34" s="34">
        <f>C31+C32</f>
        <v>197</v>
      </c>
      <c r="Q34">
        <v>0.25</v>
      </c>
      <c r="R34">
        <v>-20</v>
      </c>
      <c r="S34">
        <v>20</v>
      </c>
      <c r="T34">
        <v>20</v>
      </c>
      <c r="U34">
        <v>20</v>
      </c>
      <c r="V34">
        <v>20</v>
      </c>
      <c r="W34">
        <v>-19.999999999999996</v>
      </c>
      <c r="X34">
        <v>-20</v>
      </c>
      <c r="Y34">
        <v>-19.999999999999996</v>
      </c>
      <c r="AA34">
        <f t="shared" si="0"/>
        <v>160</v>
      </c>
      <c r="AB34">
        <f t="shared" si="1"/>
        <v>4</v>
      </c>
      <c r="AC34">
        <f>AB34/1000*一般構造素材物性!$I$37</f>
        <v>7.4999999999999997E-3</v>
      </c>
      <c r="AD34">
        <f>AA34/1000*0.001*一般構造素材物性!$H$19</f>
        <v>1.4400000000000001E-2</v>
      </c>
      <c r="AF34">
        <f t="shared" si="2"/>
        <v>5.4750000000000007E-3</v>
      </c>
    </row>
    <row r="35" spans="2:32">
      <c r="B35" s="33" t="s">
        <v>433</v>
      </c>
      <c r="C35" s="34">
        <f>195*0.3</f>
        <v>58.5</v>
      </c>
      <c r="Q35">
        <v>0.26</v>
      </c>
      <c r="R35">
        <v>-20</v>
      </c>
      <c r="S35">
        <v>20</v>
      </c>
      <c r="T35">
        <v>20</v>
      </c>
      <c r="U35">
        <v>20</v>
      </c>
      <c r="V35">
        <v>20</v>
      </c>
      <c r="W35">
        <v>-19.999999999999996</v>
      </c>
      <c r="X35">
        <v>-20</v>
      </c>
      <c r="Y35">
        <v>-19.999999999999996</v>
      </c>
      <c r="AA35">
        <f t="shared" si="0"/>
        <v>160</v>
      </c>
      <c r="AB35">
        <f t="shared" si="1"/>
        <v>4</v>
      </c>
      <c r="AC35">
        <f>AB35/1000*一般構造素材物性!$I$37</f>
        <v>7.4999999999999997E-3</v>
      </c>
      <c r="AD35">
        <f>AA35/1000*0.001*一般構造素材物性!$H$19</f>
        <v>1.4400000000000001E-2</v>
      </c>
      <c r="AF35">
        <f t="shared" si="2"/>
        <v>5.6940000000000011E-3</v>
      </c>
    </row>
    <row r="36" spans="2:32">
      <c r="B36" s="33" t="s">
        <v>175</v>
      </c>
      <c r="C36" s="34">
        <f>C35+C32</f>
        <v>143.5</v>
      </c>
      <c r="Q36">
        <v>0.27</v>
      </c>
      <c r="R36">
        <v>-20</v>
      </c>
      <c r="S36">
        <v>20</v>
      </c>
      <c r="T36">
        <v>20</v>
      </c>
      <c r="U36">
        <v>20</v>
      </c>
      <c r="V36">
        <v>20</v>
      </c>
      <c r="W36">
        <v>-19.999999999999996</v>
      </c>
      <c r="X36">
        <v>-20</v>
      </c>
      <c r="Y36">
        <v>-19.999999999999996</v>
      </c>
      <c r="AA36">
        <f t="shared" si="0"/>
        <v>160</v>
      </c>
      <c r="AB36">
        <f t="shared" si="1"/>
        <v>4</v>
      </c>
      <c r="AC36">
        <f>AB36/1000*一般構造素材物性!$I$37</f>
        <v>7.4999999999999997E-3</v>
      </c>
      <c r="AD36">
        <f>AA36/1000*0.001*一般構造素材物性!$H$19</f>
        <v>1.4400000000000001E-2</v>
      </c>
      <c r="AF36">
        <f t="shared" si="2"/>
        <v>5.9130000000000007E-3</v>
      </c>
    </row>
    <row r="37" spans="2:32">
      <c r="Q37">
        <v>0.28000000000000003</v>
      </c>
      <c r="R37">
        <v>-20</v>
      </c>
      <c r="S37">
        <v>20</v>
      </c>
      <c r="T37">
        <v>20</v>
      </c>
      <c r="U37">
        <v>20</v>
      </c>
      <c r="V37">
        <v>20</v>
      </c>
      <c r="W37">
        <v>-19.999999999999996</v>
      </c>
      <c r="X37">
        <v>-20</v>
      </c>
      <c r="Y37">
        <v>-19.999999999999996</v>
      </c>
      <c r="AA37">
        <f t="shared" si="0"/>
        <v>160</v>
      </c>
      <c r="AB37">
        <f t="shared" si="1"/>
        <v>4</v>
      </c>
      <c r="AC37">
        <f>AB37/1000*一般構造素材物性!$I$37</f>
        <v>7.4999999999999997E-3</v>
      </c>
      <c r="AD37">
        <f>AA37/1000*0.001*一般構造素材物性!$H$19</f>
        <v>1.4400000000000001E-2</v>
      </c>
      <c r="AF37">
        <f t="shared" si="2"/>
        <v>6.1320000000000012E-3</v>
      </c>
    </row>
    <row r="38" spans="2:32">
      <c r="B38" s="125" t="s">
        <v>172</v>
      </c>
      <c r="C38" s="125"/>
      <c r="Q38">
        <v>0.28999999999999998</v>
      </c>
      <c r="R38">
        <v>-20</v>
      </c>
      <c r="S38">
        <v>20</v>
      </c>
      <c r="T38">
        <v>20</v>
      </c>
      <c r="U38">
        <v>20</v>
      </c>
      <c r="V38">
        <v>20</v>
      </c>
      <c r="W38">
        <v>-19.999999999999996</v>
      </c>
      <c r="X38">
        <v>-20</v>
      </c>
      <c r="Y38">
        <v>-19.999999999999996</v>
      </c>
      <c r="AA38">
        <f t="shared" si="0"/>
        <v>160</v>
      </c>
      <c r="AB38">
        <f t="shared" si="1"/>
        <v>4</v>
      </c>
      <c r="AC38">
        <f>AB38/1000*一般構造素材物性!$I$37</f>
        <v>7.4999999999999997E-3</v>
      </c>
      <c r="AD38">
        <f>AA38/1000*0.001*一般構造素材物性!$H$19</f>
        <v>1.4400000000000001E-2</v>
      </c>
      <c r="AF38">
        <f t="shared" si="2"/>
        <v>6.3510000000000007E-3</v>
      </c>
    </row>
    <row r="39" spans="2:32">
      <c r="B39" s="35" t="s">
        <v>173</v>
      </c>
      <c r="C39" s="36" t="e">
        <f>(C18*SUM(プロパティ!D38:D40)+胴体設計!C33)/プロパティ!D41</f>
        <v>#REF!</v>
      </c>
      <c r="Q39">
        <v>0.3</v>
      </c>
      <c r="R39">
        <v>-20</v>
      </c>
      <c r="S39">
        <v>20</v>
      </c>
      <c r="T39">
        <v>20</v>
      </c>
      <c r="U39">
        <v>20</v>
      </c>
      <c r="V39">
        <v>20</v>
      </c>
      <c r="W39">
        <v>-19.999999999999996</v>
      </c>
      <c r="X39">
        <v>-20</v>
      </c>
      <c r="Y39">
        <v>-19.999999999999996</v>
      </c>
      <c r="AA39">
        <f t="shared" si="0"/>
        <v>160</v>
      </c>
      <c r="AB39">
        <f t="shared" si="1"/>
        <v>4</v>
      </c>
      <c r="AC39">
        <f>AB39/1000*一般構造素材物性!$I$37</f>
        <v>7.4999999999999997E-3</v>
      </c>
      <c r="AD39">
        <f>AA39/1000*0.001*一般構造素材物性!$H$19</f>
        <v>1.4400000000000001E-2</v>
      </c>
      <c r="AF39">
        <f t="shared" si="2"/>
        <v>6.5700000000000003E-3</v>
      </c>
    </row>
    <row r="40" spans="2:32">
      <c r="B40" s="35" t="s">
        <v>176</v>
      </c>
      <c r="C40" s="36" t="e">
        <f>C36-C39</f>
        <v>#REF!</v>
      </c>
      <c r="Q40">
        <v>31</v>
      </c>
      <c r="R40">
        <v>-20</v>
      </c>
      <c r="S40">
        <v>20</v>
      </c>
      <c r="T40">
        <v>20</v>
      </c>
      <c r="U40">
        <v>20</v>
      </c>
      <c r="V40">
        <v>20</v>
      </c>
      <c r="W40">
        <v>-19.999999999999996</v>
      </c>
      <c r="X40">
        <v>-20</v>
      </c>
      <c r="Y40">
        <v>-19.999999999999996</v>
      </c>
      <c r="AA40">
        <f t="shared" si="0"/>
        <v>160</v>
      </c>
      <c r="AB40">
        <f t="shared" si="1"/>
        <v>4</v>
      </c>
      <c r="AC40">
        <f>AB40/1000*一般構造素材物性!$I$37</f>
        <v>7.4999999999999997E-3</v>
      </c>
      <c r="AD40">
        <f>AA40/1000*0.001*一般構造素材物性!$H$19</f>
        <v>1.4400000000000001E-2</v>
      </c>
      <c r="AF40">
        <f t="shared" si="2"/>
        <v>0.67890000000000006</v>
      </c>
    </row>
    <row r="41" spans="2:32">
      <c r="Q41">
        <v>32</v>
      </c>
      <c r="R41">
        <v>-20</v>
      </c>
      <c r="S41">
        <v>20</v>
      </c>
      <c r="T41">
        <v>20</v>
      </c>
      <c r="U41">
        <v>20</v>
      </c>
      <c r="V41">
        <v>20</v>
      </c>
      <c r="W41">
        <v>-19.999999999999996</v>
      </c>
      <c r="X41">
        <v>-20</v>
      </c>
      <c r="Y41">
        <v>-19.999999999999996</v>
      </c>
      <c r="AA41">
        <f t="shared" si="0"/>
        <v>160</v>
      </c>
      <c r="AB41">
        <f t="shared" si="1"/>
        <v>4</v>
      </c>
      <c r="AC41">
        <f>AB41/1000*一般構造素材物性!$I$37</f>
        <v>7.4999999999999997E-3</v>
      </c>
      <c r="AD41">
        <f>AA41/1000*0.001*一般構造素材物性!$H$19</f>
        <v>1.4400000000000001E-2</v>
      </c>
      <c r="AF41">
        <f t="shared" si="2"/>
        <v>0.70080000000000009</v>
      </c>
    </row>
    <row r="42" spans="2:32">
      <c r="Q42">
        <v>33</v>
      </c>
      <c r="R42">
        <v>-20</v>
      </c>
      <c r="S42">
        <v>20</v>
      </c>
      <c r="T42">
        <v>20</v>
      </c>
      <c r="U42">
        <v>20</v>
      </c>
      <c r="V42">
        <v>20</v>
      </c>
      <c r="W42">
        <v>-19.999999999999996</v>
      </c>
      <c r="X42">
        <v>-20</v>
      </c>
      <c r="Y42">
        <v>-19.999999999999996</v>
      </c>
      <c r="AA42">
        <f t="shared" si="0"/>
        <v>160</v>
      </c>
      <c r="AB42">
        <f t="shared" si="1"/>
        <v>4</v>
      </c>
      <c r="AC42">
        <f>AB42/1000*一般構造素材物性!$I$37</f>
        <v>7.4999999999999997E-3</v>
      </c>
      <c r="AD42">
        <f>AA42/1000*0.001*一般構造素材物性!$H$19</f>
        <v>1.4400000000000001E-2</v>
      </c>
      <c r="AF42">
        <f t="shared" si="2"/>
        <v>0.72270000000000012</v>
      </c>
    </row>
    <row r="43" spans="2:32">
      <c r="Q43">
        <v>34</v>
      </c>
      <c r="R43">
        <v>-20</v>
      </c>
      <c r="S43">
        <v>20</v>
      </c>
      <c r="T43">
        <v>20</v>
      </c>
      <c r="U43">
        <v>20</v>
      </c>
      <c r="V43">
        <v>20</v>
      </c>
      <c r="W43">
        <v>-19.999999999999996</v>
      </c>
      <c r="X43">
        <v>-20</v>
      </c>
      <c r="Y43">
        <v>-19.999999999999996</v>
      </c>
      <c r="AA43">
        <f t="shared" si="0"/>
        <v>160</v>
      </c>
      <c r="AB43">
        <f t="shared" si="1"/>
        <v>4</v>
      </c>
      <c r="AC43">
        <f>AB43/1000*一般構造素材物性!$I$37</f>
        <v>7.4999999999999997E-3</v>
      </c>
      <c r="AD43">
        <f>AA43/1000*0.001*一般構造素材物性!$H$19</f>
        <v>1.4400000000000001E-2</v>
      </c>
      <c r="AF43">
        <f t="shared" si="2"/>
        <v>0.74460000000000015</v>
      </c>
    </row>
    <row r="44" spans="2:32">
      <c r="Q44">
        <v>35</v>
      </c>
      <c r="R44">
        <v>-20</v>
      </c>
      <c r="S44">
        <v>20</v>
      </c>
      <c r="T44">
        <v>20</v>
      </c>
      <c r="U44">
        <v>20</v>
      </c>
      <c r="V44">
        <v>20</v>
      </c>
      <c r="W44">
        <v>-19.999999999999996</v>
      </c>
      <c r="X44">
        <v>-20</v>
      </c>
      <c r="Y44">
        <v>-19.999999999999996</v>
      </c>
      <c r="AA44">
        <f t="shared" si="0"/>
        <v>160</v>
      </c>
      <c r="AB44">
        <f t="shared" si="1"/>
        <v>4</v>
      </c>
      <c r="AC44">
        <f>AB44/1000*一般構造素材物性!$I$37</f>
        <v>7.4999999999999997E-3</v>
      </c>
      <c r="AD44">
        <f>AA44/1000*0.001*一般構造素材物性!$H$19</f>
        <v>1.4400000000000001E-2</v>
      </c>
      <c r="AF44">
        <f t="shared" si="2"/>
        <v>0.76650000000000007</v>
      </c>
    </row>
    <row r="45" spans="2:32">
      <c r="Q45">
        <v>36</v>
      </c>
      <c r="R45">
        <v>-20</v>
      </c>
      <c r="S45">
        <v>20</v>
      </c>
      <c r="T45">
        <v>20</v>
      </c>
      <c r="U45">
        <v>20</v>
      </c>
      <c r="V45">
        <v>20</v>
      </c>
      <c r="W45">
        <v>-19.999999999999996</v>
      </c>
      <c r="X45">
        <v>-20</v>
      </c>
      <c r="Y45">
        <v>-19.999999999999996</v>
      </c>
      <c r="AA45">
        <f t="shared" si="0"/>
        <v>160</v>
      </c>
      <c r="AB45">
        <f t="shared" si="1"/>
        <v>4</v>
      </c>
      <c r="AC45">
        <f>AB45/1000*一般構造素材物性!$I$37</f>
        <v>7.4999999999999997E-3</v>
      </c>
      <c r="AD45">
        <f>AA45/1000*0.001*一般構造素材物性!$H$19</f>
        <v>1.4400000000000001E-2</v>
      </c>
      <c r="AF45">
        <f t="shared" si="2"/>
        <v>0.7884000000000001</v>
      </c>
    </row>
    <row r="46" spans="2:32">
      <c r="Q46">
        <v>37</v>
      </c>
      <c r="R46">
        <v>-20</v>
      </c>
      <c r="S46">
        <v>20</v>
      </c>
      <c r="T46">
        <v>20</v>
      </c>
      <c r="U46">
        <v>20</v>
      </c>
      <c r="V46">
        <v>20</v>
      </c>
      <c r="W46">
        <v>-19.999999999999996</v>
      </c>
      <c r="X46">
        <v>-20</v>
      </c>
      <c r="Y46">
        <v>-19.999999999999996</v>
      </c>
      <c r="AA46">
        <f t="shared" si="0"/>
        <v>160</v>
      </c>
      <c r="AB46">
        <f t="shared" si="1"/>
        <v>4</v>
      </c>
      <c r="AC46">
        <f>AB46/1000*一般構造素材物性!$I$37</f>
        <v>7.4999999999999997E-3</v>
      </c>
      <c r="AD46">
        <f>AA46/1000*0.001*一般構造素材物性!$H$19</f>
        <v>1.4400000000000001E-2</v>
      </c>
      <c r="AF46">
        <f t="shared" si="2"/>
        <v>0.81030000000000013</v>
      </c>
    </row>
    <row r="47" spans="2:32">
      <c r="Q47">
        <v>38</v>
      </c>
      <c r="R47">
        <v>-20</v>
      </c>
      <c r="S47">
        <v>20</v>
      </c>
      <c r="T47">
        <v>20</v>
      </c>
      <c r="U47">
        <v>20</v>
      </c>
      <c r="V47">
        <v>20</v>
      </c>
      <c r="W47">
        <v>-19.999999999999996</v>
      </c>
      <c r="X47">
        <v>-20</v>
      </c>
      <c r="Y47">
        <v>-19.999999999999996</v>
      </c>
      <c r="AA47">
        <f t="shared" si="0"/>
        <v>160</v>
      </c>
      <c r="AB47">
        <f t="shared" si="1"/>
        <v>4</v>
      </c>
      <c r="AC47">
        <f>AB47/1000*一般構造素材物性!$I$37</f>
        <v>7.4999999999999997E-3</v>
      </c>
      <c r="AD47">
        <f>AA47/1000*0.001*一般構造素材物性!$H$19</f>
        <v>1.4400000000000001E-2</v>
      </c>
      <c r="AF47">
        <f t="shared" si="2"/>
        <v>0.83220000000000005</v>
      </c>
    </row>
    <row r="48" spans="2:32">
      <c r="Q48">
        <v>39</v>
      </c>
      <c r="R48">
        <v>-20</v>
      </c>
      <c r="S48">
        <v>20</v>
      </c>
      <c r="T48">
        <v>20</v>
      </c>
      <c r="U48">
        <v>20</v>
      </c>
      <c r="V48">
        <v>20</v>
      </c>
      <c r="W48">
        <v>-19.999999999999996</v>
      </c>
      <c r="X48">
        <v>-20</v>
      </c>
      <c r="Y48">
        <v>-19.999999999999996</v>
      </c>
      <c r="AA48">
        <f t="shared" si="0"/>
        <v>160</v>
      </c>
      <c r="AB48">
        <f t="shared" si="1"/>
        <v>4</v>
      </c>
      <c r="AC48">
        <f>AB48/1000*一般構造素材物性!$I$37</f>
        <v>7.4999999999999997E-3</v>
      </c>
      <c r="AD48">
        <f>AA48/1000*0.001*一般構造素材物性!$H$19</f>
        <v>1.4400000000000001E-2</v>
      </c>
      <c r="AF48">
        <f t="shared" si="2"/>
        <v>0.85410000000000008</v>
      </c>
    </row>
    <row r="49" spans="17:32">
      <c r="Q49">
        <v>40</v>
      </c>
      <c r="R49">
        <v>-20</v>
      </c>
      <c r="S49">
        <v>20</v>
      </c>
      <c r="T49">
        <v>20</v>
      </c>
      <c r="U49">
        <v>20</v>
      </c>
      <c r="V49">
        <v>20</v>
      </c>
      <c r="W49">
        <v>-19.999999999999996</v>
      </c>
      <c r="X49">
        <v>-20</v>
      </c>
      <c r="Y49">
        <v>-19.999999999999996</v>
      </c>
      <c r="AA49">
        <f t="shared" si="0"/>
        <v>160</v>
      </c>
      <c r="AB49">
        <f t="shared" si="1"/>
        <v>4</v>
      </c>
      <c r="AC49">
        <f>AB49/1000*一般構造素材物性!$I$37</f>
        <v>7.4999999999999997E-3</v>
      </c>
      <c r="AD49">
        <f>AA49/1000*0.001*一般構造素材物性!$H$19</f>
        <v>1.4400000000000001E-2</v>
      </c>
      <c r="AF49">
        <f t="shared" si="2"/>
        <v>0.87600000000000011</v>
      </c>
    </row>
    <row r="50" spans="17:32">
      <c r="Q50">
        <v>41</v>
      </c>
      <c r="R50">
        <v>-20</v>
      </c>
      <c r="S50">
        <v>20</v>
      </c>
      <c r="T50">
        <v>20</v>
      </c>
      <c r="U50">
        <v>20</v>
      </c>
      <c r="V50">
        <v>20</v>
      </c>
      <c r="W50">
        <v>-19.999999999999996</v>
      </c>
      <c r="X50">
        <v>-20</v>
      </c>
      <c r="Y50">
        <v>-19.999999999999996</v>
      </c>
      <c r="AA50">
        <f t="shared" si="0"/>
        <v>160</v>
      </c>
      <c r="AB50">
        <f t="shared" si="1"/>
        <v>4</v>
      </c>
      <c r="AC50">
        <f>AB50/1000*一般構造素材物性!$I$37</f>
        <v>7.4999999999999997E-3</v>
      </c>
      <c r="AD50">
        <f>AA50/1000*0.001*一般構造素材物性!$H$19</f>
        <v>1.4400000000000001E-2</v>
      </c>
      <c r="AF50">
        <f t="shared" si="2"/>
        <v>0.89790000000000014</v>
      </c>
    </row>
    <row r="51" spans="17:32">
      <c r="Q51">
        <v>42</v>
      </c>
      <c r="R51">
        <v>-20</v>
      </c>
      <c r="S51">
        <v>20</v>
      </c>
      <c r="T51">
        <v>20</v>
      </c>
      <c r="U51">
        <v>20</v>
      </c>
      <c r="V51">
        <v>20</v>
      </c>
      <c r="W51">
        <v>-19.999999999999996</v>
      </c>
      <c r="X51">
        <v>-20</v>
      </c>
      <c r="Y51">
        <v>-19.999999999999996</v>
      </c>
      <c r="AA51">
        <f t="shared" si="0"/>
        <v>160</v>
      </c>
      <c r="AB51">
        <f t="shared" si="1"/>
        <v>4</v>
      </c>
      <c r="AC51">
        <f>AB51/1000*一般構造素材物性!$I$37</f>
        <v>7.4999999999999997E-3</v>
      </c>
      <c r="AD51">
        <f>AA51/1000*0.001*一般構造素材物性!$H$19</f>
        <v>1.4400000000000001E-2</v>
      </c>
      <c r="AF51">
        <f t="shared" si="2"/>
        <v>0.91980000000000017</v>
      </c>
    </row>
    <row r="52" spans="17:32">
      <c r="Q52">
        <v>43</v>
      </c>
      <c r="R52">
        <v>-20</v>
      </c>
      <c r="S52">
        <v>20</v>
      </c>
      <c r="T52">
        <v>20</v>
      </c>
      <c r="U52">
        <v>20</v>
      </c>
      <c r="V52">
        <v>20</v>
      </c>
      <c r="W52">
        <v>-19.999999999999996</v>
      </c>
      <c r="X52">
        <v>-20</v>
      </c>
      <c r="Y52">
        <v>-19.999999999999996</v>
      </c>
      <c r="AA52">
        <f t="shared" si="0"/>
        <v>160</v>
      </c>
      <c r="AB52">
        <f t="shared" si="1"/>
        <v>4</v>
      </c>
      <c r="AC52">
        <f>AB52/1000*一般構造素材物性!$I$37</f>
        <v>7.4999999999999997E-3</v>
      </c>
      <c r="AD52">
        <f>AA52/1000*0.001*一般構造素材物性!$H$19</f>
        <v>1.4400000000000001E-2</v>
      </c>
      <c r="AF52">
        <f t="shared" si="2"/>
        <v>0.94170000000000009</v>
      </c>
    </row>
    <row r="53" spans="17:32">
      <c r="Q53">
        <v>44</v>
      </c>
      <c r="R53">
        <v>-20</v>
      </c>
      <c r="S53">
        <v>20</v>
      </c>
      <c r="T53">
        <v>20</v>
      </c>
      <c r="U53">
        <v>20</v>
      </c>
      <c r="V53">
        <v>20</v>
      </c>
      <c r="W53">
        <v>-19.999999999999996</v>
      </c>
      <c r="X53">
        <v>-20</v>
      </c>
      <c r="Y53">
        <v>-19.999999999999996</v>
      </c>
      <c r="AA53">
        <f t="shared" si="0"/>
        <v>160</v>
      </c>
      <c r="AB53">
        <f t="shared" si="1"/>
        <v>4</v>
      </c>
      <c r="AC53">
        <f>AB53/1000*一般構造素材物性!$I$37</f>
        <v>7.4999999999999997E-3</v>
      </c>
      <c r="AD53">
        <f>AA53/1000*0.001*一般構造素材物性!$H$19</f>
        <v>1.4400000000000001E-2</v>
      </c>
      <c r="AF53">
        <f t="shared" si="2"/>
        <v>0.96360000000000012</v>
      </c>
    </row>
    <row r="54" spans="17:32">
      <c r="Q54">
        <v>45</v>
      </c>
      <c r="R54">
        <v>-20</v>
      </c>
      <c r="S54">
        <v>20</v>
      </c>
      <c r="T54">
        <v>20</v>
      </c>
      <c r="U54">
        <v>20</v>
      </c>
      <c r="V54">
        <v>20</v>
      </c>
      <c r="W54">
        <v>-19.999999999999996</v>
      </c>
      <c r="X54">
        <v>-20</v>
      </c>
      <c r="Y54">
        <v>-19.999999999999996</v>
      </c>
      <c r="AA54">
        <f t="shared" si="0"/>
        <v>160</v>
      </c>
      <c r="AB54">
        <f t="shared" si="1"/>
        <v>4</v>
      </c>
      <c r="AC54">
        <f>AB54/1000*一般構造素材物性!$I$37</f>
        <v>7.4999999999999997E-3</v>
      </c>
      <c r="AD54">
        <f>AA54/1000*0.001*一般構造素材物性!$H$19</f>
        <v>1.4400000000000001E-2</v>
      </c>
      <c r="AF54">
        <f t="shared" si="2"/>
        <v>0.98550000000000015</v>
      </c>
    </row>
    <row r="55" spans="17:32">
      <c r="Q55">
        <v>46</v>
      </c>
      <c r="R55">
        <v>-20</v>
      </c>
      <c r="S55">
        <v>20</v>
      </c>
      <c r="T55">
        <v>20</v>
      </c>
      <c r="U55">
        <v>20</v>
      </c>
      <c r="V55">
        <v>20</v>
      </c>
      <c r="W55">
        <v>-19.999999999999996</v>
      </c>
      <c r="X55">
        <v>-20</v>
      </c>
      <c r="Y55">
        <v>-19.999999999999996</v>
      </c>
      <c r="AA55">
        <f t="shared" si="0"/>
        <v>160</v>
      </c>
      <c r="AB55">
        <f t="shared" si="1"/>
        <v>4</v>
      </c>
      <c r="AC55">
        <f>AB55/1000*一般構造素材物性!$I$37</f>
        <v>7.4999999999999997E-3</v>
      </c>
      <c r="AD55">
        <f>AA55/1000*0.001*一般構造素材物性!$H$19</f>
        <v>1.4400000000000001E-2</v>
      </c>
      <c r="AF55">
        <f t="shared" si="2"/>
        <v>1.0074000000000001</v>
      </c>
    </row>
    <row r="56" spans="17:32">
      <c r="Q56">
        <v>47</v>
      </c>
      <c r="R56">
        <v>-20</v>
      </c>
      <c r="S56">
        <v>20</v>
      </c>
      <c r="T56">
        <v>20</v>
      </c>
      <c r="U56">
        <v>20</v>
      </c>
      <c r="V56">
        <v>20</v>
      </c>
      <c r="W56">
        <v>-19.999999999999996</v>
      </c>
      <c r="X56">
        <v>-20</v>
      </c>
      <c r="Y56">
        <v>-19.999999999999996</v>
      </c>
      <c r="AA56">
        <f t="shared" si="0"/>
        <v>160</v>
      </c>
      <c r="AB56">
        <f t="shared" si="1"/>
        <v>4</v>
      </c>
      <c r="AC56">
        <f>AB56/1000*一般構造素材物性!$I$37</f>
        <v>7.4999999999999997E-3</v>
      </c>
      <c r="AD56">
        <f>AA56/1000*0.001*一般構造素材物性!$H$19</f>
        <v>1.4400000000000001E-2</v>
      </c>
      <c r="AF56">
        <f t="shared" si="2"/>
        <v>1.0293000000000001</v>
      </c>
    </row>
    <row r="57" spans="17:32">
      <c r="Q57">
        <v>48</v>
      </c>
      <c r="R57">
        <v>-20</v>
      </c>
      <c r="S57">
        <v>20</v>
      </c>
      <c r="T57">
        <v>20</v>
      </c>
      <c r="U57">
        <v>20</v>
      </c>
      <c r="V57">
        <v>20</v>
      </c>
      <c r="W57">
        <v>-19.999999999999996</v>
      </c>
      <c r="X57">
        <v>-20</v>
      </c>
      <c r="Y57">
        <v>-19.999999999999996</v>
      </c>
      <c r="AA57">
        <f t="shared" si="0"/>
        <v>160</v>
      </c>
      <c r="AB57">
        <f t="shared" si="1"/>
        <v>4</v>
      </c>
      <c r="AC57">
        <f>AB57/1000*一般構造素材物性!$I$37</f>
        <v>7.4999999999999997E-3</v>
      </c>
      <c r="AD57">
        <f>AA57/1000*0.001*一般構造素材物性!$H$19</f>
        <v>1.4400000000000001E-2</v>
      </c>
      <c r="AF57">
        <f t="shared" si="2"/>
        <v>1.0512000000000001</v>
      </c>
    </row>
    <row r="58" spans="17:32">
      <c r="Q58">
        <v>49</v>
      </c>
      <c r="R58">
        <v>-20</v>
      </c>
      <c r="S58">
        <v>20</v>
      </c>
      <c r="T58">
        <v>20</v>
      </c>
      <c r="U58">
        <v>20</v>
      </c>
      <c r="V58">
        <v>20</v>
      </c>
      <c r="W58">
        <v>-19.999999999999996</v>
      </c>
      <c r="X58">
        <v>-20</v>
      </c>
      <c r="Y58">
        <v>-19.999999999999996</v>
      </c>
      <c r="AA58">
        <f t="shared" si="0"/>
        <v>160</v>
      </c>
      <c r="AB58">
        <f t="shared" si="1"/>
        <v>4</v>
      </c>
      <c r="AC58">
        <f>AB58/1000*一般構造素材物性!$I$37</f>
        <v>7.4999999999999997E-3</v>
      </c>
      <c r="AD58">
        <f>AA58/1000*0.001*一般構造素材物性!$H$19</f>
        <v>1.4400000000000001E-2</v>
      </c>
      <c r="AF58">
        <f t="shared" si="2"/>
        <v>1.0731000000000002</v>
      </c>
    </row>
    <row r="59" spans="17:32">
      <c r="Q59">
        <v>50</v>
      </c>
      <c r="R59">
        <v>-20</v>
      </c>
      <c r="S59">
        <v>20</v>
      </c>
      <c r="T59">
        <v>20</v>
      </c>
      <c r="U59">
        <v>20</v>
      </c>
      <c r="V59">
        <v>20</v>
      </c>
      <c r="W59">
        <v>-19.999999999999996</v>
      </c>
      <c r="X59">
        <v>-20</v>
      </c>
      <c r="Y59">
        <v>-19.999999999999996</v>
      </c>
      <c r="AA59">
        <f t="shared" si="0"/>
        <v>160</v>
      </c>
      <c r="AB59">
        <f t="shared" si="1"/>
        <v>4</v>
      </c>
      <c r="AC59">
        <f>AB59/1000*一般構造素材物性!$I$37</f>
        <v>7.4999999999999997E-3</v>
      </c>
      <c r="AD59">
        <f>AA59/1000*0.001*一般構造素材物性!$H$19</f>
        <v>1.4400000000000001E-2</v>
      </c>
      <c r="AF59">
        <f t="shared" si="2"/>
        <v>1.0950000000000002</v>
      </c>
    </row>
    <row r="60" spans="17:32">
      <c r="Q60">
        <v>51</v>
      </c>
      <c r="R60">
        <v>-20</v>
      </c>
      <c r="S60">
        <v>20</v>
      </c>
      <c r="T60">
        <v>20</v>
      </c>
      <c r="U60">
        <v>20</v>
      </c>
      <c r="V60">
        <v>20</v>
      </c>
      <c r="W60">
        <v>-19.999999999999996</v>
      </c>
      <c r="X60">
        <v>-20</v>
      </c>
      <c r="Y60">
        <v>-19.999999999999996</v>
      </c>
      <c r="AA60">
        <f t="shared" si="0"/>
        <v>160</v>
      </c>
      <c r="AB60">
        <f t="shared" si="1"/>
        <v>4</v>
      </c>
      <c r="AC60">
        <f>AB60/1000*一般構造素材物性!$I$37</f>
        <v>7.4999999999999997E-3</v>
      </c>
      <c r="AD60">
        <f>AA60/1000*0.001*一般構造素材物性!$H$19</f>
        <v>1.4400000000000001E-2</v>
      </c>
      <c r="AF60">
        <f t="shared" si="2"/>
        <v>1.1169000000000002</v>
      </c>
    </row>
    <row r="61" spans="17:32">
      <c r="Q61">
        <v>52</v>
      </c>
      <c r="R61">
        <v>-20</v>
      </c>
      <c r="S61">
        <v>20</v>
      </c>
      <c r="T61">
        <v>20</v>
      </c>
      <c r="U61">
        <v>20</v>
      </c>
      <c r="V61">
        <v>20</v>
      </c>
      <c r="W61">
        <v>-19.999999999999996</v>
      </c>
      <c r="X61">
        <v>-20</v>
      </c>
      <c r="Y61">
        <v>-19.999999999999996</v>
      </c>
      <c r="AA61">
        <f t="shared" si="0"/>
        <v>160</v>
      </c>
      <c r="AB61">
        <f t="shared" si="1"/>
        <v>4</v>
      </c>
      <c r="AC61">
        <f>AB61/1000*一般構造素材物性!$I$37</f>
        <v>7.4999999999999997E-3</v>
      </c>
      <c r="AD61">
        <f>AA61/1000*0.001*一般構造素材物性!$H$19</f>
        <v>1.4400000000000001E-2</v>
      </c>
      <c r="AF61">
        <f t="shared" si="2"/>
        <v>1.1388000000000003</v>
      </c>
    </row>
    <row r="62" spans="17:32">
      <c r="Q62">
        <v>53</v>
      </c>
      <c r="R62">
        <v>-20</v>
      </c>
      <c r="S62">
        <v>20</v>
      </c>
      <c r="T62">
        <v>20</v>
      </c>
      <c r="U62">
        <v>20</v>
      </c>
      <c r="V62">
        <v>20</v>
      </c>
      <c r="W62">
        <v>-19.999999999999996</v>
      </c>
      <c r="X62">
        <v>-20</v>
      </c>
      <c r="Y62">
        <v>-19.999999999999996</v>
      </c>
      <c r="AA62">
        <f t="shared" si="0"/>
        <v>160</v>
      </c>
      <c r="AB62">
        <f t="shared" si="1"/>
        <v>4</v>
      </c>
      <c r="AC62">
        <f>AB62/1000*一般構造素材物性!$I$37</f>
        <v>7.4999999999999997E-3</v>
      </c>
      <c r="AD62">
        <f>AA62/1000*0.001*一般構造素材物性!$H$19</f>
        <v>1.4400000000000001E-2</v>
      </c>
      <c r="AF62">
        <f t="shared" si="2"/>
        <v>1.1607000000000001</v>
      </c>
    </row>
    <row r="63" spans="17:32">
      <c r="Q63">
        <v>54</v>
      </c>
      <c r="R63">
        <v>-20</v>
      </c>
      <c r="S63">
        <v>20</v>
      </c>
      <c r="T63">
        <v>20</v>
      </c>
      <c r="U63">
        <v>20</v>
      </c>
      <c r="V63">
        <v>20</v>
      </c>
      <c r="W63">
        <v>-19.999999999999996</v>
      </c>
      <c r="X63">
        <v>-20</v>
      </c>
      <c r="Y63">
        <v>-19.999999999999996</v>
      </c>
      <c r="AA63">
        <f t="shared" si="0"/>
        <v>160</v>
      </c>
      <c r="AB63">
        <f t="shared" si="1"/>
        <v>4</v>
      </c>
      <c r="AC63">
        <f>AB63/1000*一般構造素材物性!$I$37</f>
        <v>7.4999999999999997E-3</v>
      </c>
      <c r="AD63">
        <f>AA63/1000*0.001*一般構造素材物性!$H$19</f>
        <v>1.4400000000000001E-2</v>
      </c>
      <c r="AF63">
        <f t="shared" si="2"/>
        <v>1.1826000000000001</v>
      </c>
    </row>
    <row r="64" spans="17:32">
      <c r="Q64">
        <v>55</v>
      </c>
      <c r="R64">
        <v>-20</v>
      </c>
      <c r="S64">
        <v>20</v>
      </c>
      <c r="T64">
        <v>20</v>
      </c>
      <c r="U64">
        <v>20</v>
      </c>
      <c r="V64">
        <v>20</v>
      </c>
      <c r="W64">
        <v>-19.999999999999996</v>
      </c>
      <c r="X64">
        <v>-20</v>
      </c>
      <c r="Y64">
        <v>-19.999999999999996</v>
      </c>
      <c r="AA64">
        <f t="shared" si="0"/>
        <v>160</v>
      </c>
      <c r="AB64">
        <f t="shared" si="1"/>
        <v>4</v>
      </c>
      <c r="AC64">
        <f>AB64/1000*一般構造素材物性!$I$37</f>
        <v>7.4999999999999997E-3</v>
      </c>
      <c r="AD64">
        <f>AA64/1000*0.001*一般構造素材物性!$H$19</f>
        <v>1.4400000000000001E-2</v>
      </c>
      <c r="AF64">
        <f t="shared" si="2"/>
        <v>1.2045000000000001</v>
      </c>
    </row>
    <row r="65" spans="17:32">
      <c r="Q65">
        <v>56</v>
      </c>
      <c r="R65">
        <v>-20</v>
      </c>
      <c r="S65">
        <v>20</v>
      </c>
      <c r="T65">
        <v>20</v>
      </c>
      <c r="U65">
        <v>20</v>
      </c>
      <c r="V65">
        <v>20</v>
      </c>
      <c r="W65">
        <v>-19.999999999999996</v>
      </c>
      <c r="X65">
        <v>-20</v>
      </c>
      <c r="Y65">
        <v>-19.999999999999996</v>
      </c>
      <c r="AA65">
        <f t="shared" si="0"/>
        <v>160</v>
      </c>
      <c r="AB65">
        <f t="shared" si="1"/>
        <v>4</v>
      </c>
      <c r="AC65">
        <f>AB65/1000*一般構造素材物性!$I$37</f>
        <v>7.4999999999999997E-3</v>
      </c>
      <c r="AD65">
        <f>AA65/1000*0.001*一般構造素材物性!$H$19</f>
        <v>1.4400000000000001E-2</v>
      </c>
      <c r="AF65">
        <f t="shared" si="2"/>
        <v>1.2264000000000002</v>
      </c>
    </row>
    <row r="66" spans="17:32">
      <c r="Q66">
        <v>57</v>
      </c>
      <c r="R66">
        <v>-20</v>
      </c>
      <c r="S66">
        <v>20</v>
      </c>
      <c r="T66">
        <v>20</v>
      </c>
      <c r="U66">
        <v>20</v>
      </c>
      <c r="V66">
        <v>20</v>
      </c>
      <c r="W66">
        <v>-19.999999999999996</v>
      </c>
      <c r="X66">
        <v>-20</v>
      </c>
      <c r="Y66">
        <v>-19.999999999999996</v>
      </c>
      <c r="AA66">
        <f t="shared" si="0"/>
        <v>160</v>
      </c>
      <c r="AB66">
        <f t="shared" si="1"/>
        <v>4</v>
      </c>
      <c r="AC66">
        <f>AB66/1000*一般構造素材物性!$I$37</f>
        <v>7.4999999999999997E-3</v>
      </c>
      <c r="AD66">
        <f>AA66/1000*0.001*一般構造素材物性!$H$19</f>
        <v>1.4400000000000001E-2</v>
      </c>
      <c r="AF66">
        <f t="shared" si="2"/>
        <v>1.2483000000000002</v>
      </c>
    </row>
    <row r="67" spans="17:32">
      <c r="Q67">
        <v>58</v>
      </c>
      <c r="R67">
        <v>-20</v>
      </c>
      <c r="S67">
        <v>20</v>
      </c>
      <c r="T67">
        <v>20</v>
      </c>
      <c r="U67">
        <v>20</v>
      </c>
      <c r="V67">
        <v>20</v>
      </c>
      <c r="W67">
        <v>-19.999999999999996</v>
      </c>
      <c r="X67">
        <v>-20</v>
      </c>
      <c r="Y67">
        <v>-19.999999999999996</v>
      </c>
      <c r="AA67">
        <f t="shared" si="0"/>
        <v>160</v>
      </c>
      <c r="AB67">
        <f t="shared" si="1"/>
        <v>4</v>
      </c>
      <c r="AC67">
        <f>AB67/1000*一般構造素材物性!$I$37</f>
        <v>7.4999999999999997E-3</v>
      </c>
      <c r="AD67">
        <f>AA67/1000*0.001*一般構造素材物性!$H$19</f>
        <v>1.4400000000000001E-2</v>
      </c>
      <c r="AF67">
        <f t="shared" si="2"/>
        <v>1.2702000000000002</v>
      </c>
    </row>
    <row r="68" spans="17:32">
      <c r="Q68">
        <v>59</v>
      </c>
      <c r="R68">
        <v>-20</v>
      </c>
      <c r="S68">
        <v>20</v>
      </c>
      <c r="T68">
        <v>20</v>
      </c>
      <c r="U68">
        <v>20</v>
      </c>
      <c r="V68">
        <v>20</v>
      </c>
      <c r="W68">
        <v>-19.999999999999996</v>
      </c>
      <c r="X68">
        <v>-20</v>
      </c>
      <c r="Y68">
        <v>-19.999999999999996</v>
      </c>
      <c r="AA68">
        <f t="shared" si="0"/>
        <v>160</v>
      </c>
      <c r="AB68">
        <f t="shared" si="1"/>
        <v>4</v>
      </c>
      <c r="AC68">
        <f>AB68/1000*一般構造素材物性!$I$37</f>
        <v>7.4999999999999997E-3</v>
      </c>
      <c r="AD68">
        <f>AA68/1000*0.001*一般構造素材物性!$H$19</f>
        <v>1.4400000000000001E-2</v>
      </c>
      <c r="AF68">
        <f t="shared" si="2"/>
        <v>1.2921000000000002</v>
      </c>
    </row>
    <row r="69" spans="17:32">
      <c r="Q69">
        <v>60</v>
      </c>
      <c r="R69">
        <v>-20</v>
      </c>
      <c r="S69">
        <v>20</v>
      </c>
      <c r="T69">
        <v>20</v>
      </c>
      <c r="U69">
        <v>20</v>
      </c>
      <c r="V69">
        <v>20</v>
      </c>
      <c r="W69">
        <v>-19.999999999999996</v>
      </c>
      <c r="X69">
        <v>-20</v>
      </c>
      <c r="Y69">
        <v>-19.999999999999996</v>
      </c>
      <c r="AA69">
        <f t="shared" si="0"/>
        <v>160</v>
      </c>
      <c r="AB69">
        <f t="shared" si="1"/>
        <v>4</v>
      </c>
      <c r="AC69">
        <f>AB69/1000*一般構造素材物性!$I$37</f>
        <v>7.4999999999999997E-3</v>
      </c>
      <c r="AD69">
        <f>AA69/1000*0.001*一般構造素材物性!$H$19</f>
        <v>1.4400000000000001E-2</v>
      </c>
      <c r="AF69">
        <f t="shared" si="2"/>
        <v>1.3140000000000001</v>
      </c>
    </row>
    <row r="70" spans="17:32">
      <c r="Q70">
        <v>61</v>
      </c>
      <c r="R70">
        <v>-20</v>
      </c>
      <c r="S70">
        <v>20</v>
      </c>
      <c r="T70">
        <v>20</v>
      </c>
      <c r="U70">
        <v>20</v>
      </c>
      <c r="V70">
        <v>20</v>
      </c>
      <c r="W70">
        <v>-19.999999999999996</v>
      </c>
      <c r="X70">
        <v>-20</v>
      </c>
      <c r="Y70">
        <v>-19.999999999999996</v>
      </c>
      <c r="AA70">
        <f t="shared" si="0"/>
        <v>160</v>
      </c>
      <c r="AB70">
        <f t="shared" si="1"/>
        <v>4</v>
      </c>
      <c r="AC70">
        <f>AB70/1000*一般構造素材物性!$I$37</f>
        <v>7.4999999999999997E-3</v>
      </c>
      <c r="AD70">
        <f>AA70/1000*0.001*一般構造素材物性!$H$19</f>
        <v>1.4400000000000001E-2</v>
      </c>
      <c r="AF70">
        <f t="shared" si="2"/>
        <v>1.3359000000000001</v>
      </c>
    </row>
    <row r="71" spans="17:32">
      <c r="Q71">
        <v>62</v>
      </c>
      <c r="R71">
        <v>-20</v>
      </c>
      <c r="S71">
        <v>20</v>
      </c>
      <c r="T71">
        <v>20</v>
      </c>
      <c r="U71">
        <v>20</v>
      </c>
      <c r="V71">
        <v>20</v>
      </c>
      <c r="W71">
        <v>-19.999999999999996</v>
      </c>
      <c r="X71">
        <v>-20</v>
      </c>
      <c r="Y71">
        <v>-19.999999999999996</v>
      </c>
      <c r="AA71">
        <f t="shared" si="0"/>
        <v>160</v>
      </c>
      <c r="AB71">
        <f t="shared" si="1"/>
        <v>4</v>
      </c>
      <c r="AC71">
        <f>AB71/1000*一般構造素材物性!$I$37</f>
        <v>7.4999999999999997E-3</v>
      </c>
      <c r="AD71">
        <f>AA71/1000*0.001*一般構造素材物性!$H$19</f>
        <v>1.4400000000000001E-2</v>
      </c>
      <c r="AF71">
        <f t="shared" si="2"/>
        <v>1.3578000000000001</v>
      </c>
    </row>
    <row r="72" spans="17:32">
      <c r="Q72">
        <v>63</v>
      </c>
      <c r="R72">
        <v>-20</v>
      </c>
      <c r="S72">
        <v>20</v>
      </c>
      <c r="T72">
        <v>20</v>
      </c>
      <c r="U72">
        <v>20</v>
      </c>
      <c r="V72">
        <v>20</v>
      </c>
      <c r="W72">
        <v>-19.999999999999996</v>
      </c>
      <c r="X72">
        <v>-20</v>
      </c>
      <c r="Y72">
        <v>-19.999999999999996</v>
      </c>
      <c r="AA72">
        <f t="shared" si="0"/>
        <v>160</v>
      </c>
      <c r="AB72">
        <f t="shared" si="1"/>
        <v>4</v>
      </c>
      <c r="AC72">
        <f>AB72/1000*一般構造素材物性!$I$37</f>
        <v>7.4999999999999997E-3</v>
      </c>
      <c r="AD72">
        <f>AA72/1000*0.001*一般構造素材物性!$H$19</f>
        <v>1.4400000000000001E-2</v>
      </c>
      <c r="AF72">
        <f t="shared" si="2"/>
        <v>1.3797000000000001</v>
      </c>
    </row>
    <row r="73" spans="17:32">
      <c r="Q73">
        <v>64</v>
      </c>
      <c r="R73">
        <v>-20</v>
      </c>
      <c r="S73">
        <v>20</v>
      </c>
      <c r="T73">
        <v>20</v>
      </c>
      <c r="U73">
        <v>20</v>
      </c>
      <c r="V73">
        <v>20</v>
      </c>
      <c r="W73">
        <v>-19.999999999999996</v>
      </c>
      <c r="X73">
        <v>-20</v>
      </c>
      <c r="Y73">
        <v>-19.999999999999996</v>
      </c>
      <c r="AA73">
        <f t="shared" si="0"/>
        <v>160</v>
      </c>
      <c r="AB73">
        <f t="shared" si="1"/>
        <v>4</v>
      </c>
      <c r="AC73">
        <f>AB73/1000*一般構造素材物性!$I$37</f>
        <v>7.4999999999999997E-3</v>
      </c>
      <c r="AD73">
        <f>AA73/1000*0.001*一般構造素材物性!$H$19</f>
        <v>1.4400000000000001E-2</v>
      </c>
      <c r="AF73">
        <f t="shared" si="2"/>
        <v>1.4016000000000002</v>
      </c>
    </row>
    <row r="74" spans="17:32">
      <c r="Q74">
        <v>65</v>
      </c>
      <c r="R74">
        <v>-20</v>
      </c>
      <c r="S74">
        <v>20</v>
      </c>
      <c r="T74">
        <v>20</v>
      </c>
      <c r="U74">
        <v>20</v>
      </c>
      <c r="V74">
        <v>20</v>
      </c>
      <c r="W74">
        <v>-19.999999999999996</v>
      </c>
      <c r="X74">
        <v>-20</v>
      </c>
      <c r="Y74">
        <v>-19.999999999999996</v>
      </c>
      <c r="AA74">
        <f t="shared" ref="AA74:AA137" si="3">SQRT((T74-R74)^2+(U74-S74)^2)+SQRT((V74-T74)^2+(W74-U74)^2)+SQRT((X74-V74)^2+(Y74-W74)^2)+SQRT((R74-X74)^2+(S74-Y74)^2)</f>
        <v>160</v>
      </c>
      <c r="AB74">
        <f t="shared" ref="AB74:AB137" si="4">SQRT((R75-R74)^2+(S75-S74)^2+1^2)+SQRT((T75-T74)^2+(U75-U74)^2+1^2)+SQRT((V75-V74)^2+(W75-W74)^2+1^2)+SQRT((X75-X74)^2+(Y75-Y74)^2+1^2)</f>
        <v>4</v>
      </c>
      <c r="AC74">
        <f>AB74/1000*一般構造素材物性!$I$37</f>
        <v>7.4999999999999997E-3</v>
      </c>
      <c r="AD74">
        <f>AA74/1000*0.001*一般構造素材物性!$H$19</f>
        <v>1.4400000000000001E-2</v>
      </c>
      <c r="AF74">
        <f t="shared" ref="AF74:AF137" si="5">(AC74+AD74)*(Q74-$Q$9)</f>
        <v>1.4235000000000002</v>
      </c>
    </row>
    <row r="75" spans="17:32">
      <c r="Q75">
        <v>66</v>
      </c>
      <c r="R75">
        <v>-20</v>
      </c>
      <c r="S75">
        <v>20</v>
      </c>
      <c r="T75">
        <v>20</v>
      </c>
      <c r="U75">
        <v>20</v>
      </c>
      <c r="V75">
        <v>20</v>
      </c>
      <c r="W75">
        <v>-19.999999999999996</v>
      </c>
      <c r="X75">
        <v>-20</v>
      </c>
      <c r="Y75">
        <v>-19.999999999999996</v>
      </c>
      <c r="AA75">
        <f t="shared" si="3"/>
        <v>160</v>
      </c>
      <c r="AB75">
        <f t="shared" si="4"/>
        <v>4</v>
      </c>
      <c r="AC75">
        <f>AB75/1000*一般構造素材物性!$I$37</f>
        <v>7.4999999999999997E-3</v>
      </c>
      <c r="AD75">
        <f>AA75/1000*0.001*一般構造素材物性!$H$19</f>
        <v>1.4400000000000001E-2</v>
      </c>
      <c r="AF75">
        <f t="shared" si="5"/>
        <v>1.4454000000000002</v>
      </c>
    </row>
    <row r="76" spans="17:32">
      <c r="Q76">
        <v>67</v>
      </c>
      <c r="R76">
        <v>-20</v>
      </c>
      <c r="S76">
        <v>20</v>
      </c>
      <c r="T76">
        <v>20</v>
      </c>
      <c r="U76">
        <v>20</v>
      </c>
      <c r="V76">
        <v>20</v>
      </c>
      <c r="W76">
        <v>-19.999999999999996</v>
      </c>
      <c r="X76">
        <v>-20</v>
      </c>
      <c r="Y76">
        <v>-19.999999999999996</v>
      </c>
      <c r="AA76">
        <f t="shared" si="3"/>
        <v>160</v>
      </c>
      <c r="AB76">
        <f t="shared" si="4"/>
        <v>4</v>
      </c>
      <c r="AC76">
        <f>AB76/1000*一般構造素材物性!$I$37</f>
        <v>7.4999999999999997E-3</v>
      </c>
      <c r="AD76">
        <f>AA76/1000*0.001*一般構造素材物性!$H$19</f>
        <v>1.4400000000000001E-2</v>
      </c>
      <c r="AF76">
        <f t="shared" si="5"/>
        <v>1.4673000000000003</v>
      </c>
    </row>
    <row r="77" spans="17:32">
      <c r="Q77">
        <v>68</v>
      </c>
      <c r="R77">
        <v>-20</v>
      </c>
      <c r="S77">
        <v>20</v>
      </c>
      <c r="T77">
        <v>20</v>
      </c>
      <c r="U77">
        <v>20</v>
      </c>
      <c r="V77">
        <v>20</v>
      </c>
      <c r="W77">
        <v>-19.999999999999996</v>
      </c>
      <c r="X77">
        <v>-20</v>
      </c>
      <c r="Y77">
        <v>-19.999999999999996</v>
      </c>
      <c r="AA77">
        <f t="shared" si="3"/>
        <v>160</v>
      </c>
      <c r="AB77">
        <f t="shared" si="4"/>
        <v>4</v>
      </c>
      <c r="AC77">
        <f>AB77/1000*一般構造素材物性!$I$37</f>
        <v>7.4999999999999997E-3</v>
      </c>
      <c r="AD77">
        <f>AA77/1000*0.001*一般構造素材物性!$H$19</f>
        <v>1.4400000000000001E-2</v>
      </c>
      <c r="AF77">
        <f t="shared" si="5"/>
        <v>1.4892000000000003</v>
      </c>
    </row>
    <row r="78" spans="17:32">
      <c r="Q78">
        <v>69</v>
      </c>
      <c r="R78">
        <v>-20</v>
      </c>
      <c r="S78">
        <v>20</v>
      </c>
      <c r="T78">
        <v>20</v>
      </c>
      <c r="U78">
        <v>20</v>
      </c>
      <c r="V78">
        <v>20</v>
      </c>
      <c r="W78">
        <v>-19.999999999999996</v>
      </c>
      <c r="X78">
        <v>-20</v>
      </c>
      <c r="Y78">
        <v>-19.999999999999996</v>
      </c>
      <c r="AA78">
        <f t="shared" si="3"/>
        <v>160</v>
      </c>
      <c r="AB78">
        <f t="shared" si="4"/>
        <v>4</v>
      </c>
      <c r="AC78">
        <f>AB78/1000*一般構造素材物性!$I$37</f>
        <v>7.4999999999999997E-3</v>
      </c>
      <c r="AD78">
        <f>AA78/1000*0.001*一般構造素材物性!$H$19</f>
        <v>1.4400000000000001E-2</v>
      </c>
      <c r="AF78">
        <f t="shared" si="5"/>
        <v>1.5111000000000001</v>
      </c>
    </row>
    <row r="79" spans="17:32">
      <c r="Q79">
        <v>70</v>
      </c>
      <c r="R79">
        <v>-20</v>
      </c>
      <c r="S79">
        <v>20</v>
      </c>
      <c r="T79">
        <v>20</v>
      </c>
      <c r="U79">
        <v>20</v>
      </c>
      <c r="V79">
        <v>20</v>
      </c>
      <c r="W79">
        <v>-19.999999999999996</v>
      </c>
      <c r="X79">
        <v>-20</v>
      </c>
      <c r="Y79">
        <v>-19.999999999999996</v>
      </c>
      <c r="AA79">
        <f t="shared" si="3"/>
        <v>160</v>
      </c>
      <c r="AB79">
        <f t="shared" si="4"/>
        <v>4</v>
      </c>
      <c r="AC79">
        <f>AB79/1000*一般構造素材物性!$I$37</f>
        <v>7.4999999999999997E-3</v>
      </c>
      <c r="AD79">
        <f>AA79/1000*0.001*一般構造素材物性!$H$19</f>
        <v>1.4400000000000001E-2</v>
      </c>
      <c r="AF79">
        <f t="shared" si="5"/>
        <v>1.5330000000000001</v>
      </c>
    </row>
    <row r="80" spans="17:32">
      <c r="Q80">
        <v>71</v>
      </c>
      <c r="R80">
        <v>-20</v>
      </c>
      <c r="S80">
        <v>20</v>
      </c>
      <c r="T80">
        <v>20</v>
      </c>
      <c r="U80">
        <v>20</v>
      </c>
      <c r="V80">
        <v>20</v>
      </c>
      <c r="W80">
        <v>-19.999999999999996</v>
      </c>
      <c r="X80">
        <v>-20</v>
      </c>
      <c r="Y80">
        <v>-19.999999999999996</v>
      </c>
      <c r="AA80">
        <f t="shared" si="3"/>
        <v>160</v>
      </c>
      <c r="AB80">
        <f t="shared" si="4"/>
        <v>4</v>
      </c>
      <c r="AC80">
        <f>AB80/1000*一般構造素材物性!$I$37</f>
        <v>7.4999999999999997E-3</v>
      </c>
      <c r="AD80">
        <f>AA80/1000*0.001*一般構造素材物性!$H$19</f>
        <v>1.4400000000000001E-2</v>
      </c>
      <c r="AF80">
        <f t="shared" si="5"/>
        <v>1.5549000000000002</v>
      </c>
    </row>
    <row r="81" spans="17:32">
      <c r="Q81">
        <v>72</v>
      </c>
      <c r="R81">
        <v>-20</v>
      </c>
      <c r="S81">
        <v>20</v>
      </c>
      <c r="T81">
        <v>20</v>
      </c>
      <c r="U81">
        <v>20</v>
      </c>
      <c r="V81">
        <v>20</v>
      </c>
      <c r="W81">
        <v>-19.999999999999996</v>
      </c>
      <c r="X81">
        <v>-20</v>
      </c>
      <c r="Y81">
        <v>-19.999999999999996</v>
      </c>
      <c r="AA81">
        <f t="shared" si="3"/>
        <v>160</v>
      </c>
      <c r="AB81">
        <f t="shared" si="4"/>
        <v>4</v>
      </c>
      <c r="AC81">
        <f>AB81/1000*一般構造素材物性!$I$37</f>
        <v>7.4999999999999997E-3</v>
      </c>
      <c r="AD81">
        <f>AA81/1000*0.001*一般構造素材物性!$H$19</f>
        <v>1.4400000000000001E-2</v>
      </c>
      <c r="AF81">
        <f t="shared" si="5"/>
        <v>1.5768000000000002</v>
      </c>
    </row>
    <row r="82" spans="17:32">
      <c r="Q82">
        <v>73</v>
      </c>
      <c r="R82">
        <v>-20</v>
      </c>
      <c r="S82">
        <v>20</v>
      </c>
      <c r="T82">
        <v>20</v>
      </c>
      <c r="U82">
        <v>20</v>
      </c>
      <c r="V82">
        <v>20</v>
      </c>
      <c r="W82">
        <v>-19.999999999999996</v>
      </c>
      <c r="X82">
        <v>-20</v>
      </c>
      <c r="Y82">
        <v>-19.999999999999996</v>
      </c>
      <c r="AA82">
        <f t="shared" si="3"/>
        <v>160</v>
      </c>
      <c r="AB82">
        <f t="shared" si="4"/>
        <v>4</v>
      </c>
      <c r="AC82">
        <f>AB82/1000*一般構造素材物性!$I$37</f>
        <v>7.4999999999999997E-3</v>
      </c>
      <c r="AD82">
        <f>AA82/1000*0.001*一般構造素材物性!$H$19</f>
        <v>1.4400000000000001E-2</v>
      </c>
      <c r="AF82">
        <f t="shared" si="5"/>
        <v>1.5987000000000002</v>
      </c>
    </row>
    <row r="83" spans="17:32">
      <c r="Q83">
        <v>74</v>
      </c>
      <c r="R83">
        <v>-20</v>
      </c>
      <c r="S83">
        <v>20</v>
      </c>
      <c r="T83">
        <v>20</v>
      </c>
      <c r="U83">
        <v>20</v>
      </c>
      <c r="V83">
        <v>20</v>
      </c>
      <c r="W83">
        <v>-19.999999999999996</v>
      </c>
      <c r="X83">
        <v>-20</v>
      </c>
      <c r="Y83">
        <v>-19.999999999999996</v>
      </c>
      <c r="AA83">
        <f t="shared" si="3"/>
        <v>160</v>
      </c>
      <c r="AB83">
        <f t="shared" si="4"/>
        <v>4</v>
      </c>
      <c r="AC83">
        <f>AB83/1000*一般構造素材物性!$I$37</f>
        <v>7.4999999999999997E-3</v>
      </c>
      <c r="AD83">
        <f>AA83/1000*0.001*一般構造素材物性!$H$19</f>
        <v>1.4400000000000001E-2</v>
      </c>
      <c r="AF83">
        <f t="shared" si="5"/>
        <v>1.6206000000000003</v>
      </c>
    </row>
    <row r="84" spans="17:32">
      <c r="Q84">
        <v>75</v>
      </c>
      <c r="R84">
        <v>-20</v>
      </c>
      <c r="S84">
        <v>20</v>
      </c>
      <c r="T84">
        <v>20</v>
      </c>
      <c r="U84">
        <v>20</v>
      </c>
      <c r="V84">
        <v>20</v>
      </c>
      <c r="W84">
        <v>-19.999999999999996</v>
      </c>
      <c r="X84">
        <v>-20</v>
      </c>
      <c r="Y84">
        <v>-19.999999999999996</v>
      </c>
      <c r="AA84">
        <f t="shared" si="3"/>
        <v>160</v>
      </c>
      <c r="AB84">
        <f t="shared" si="4"/>
        <v>4</v>
      </c>
      <c r="AC84">
        <f>AB84/1000*一般構造素材物性!$I$37</f>
        <v>7.4999999999999997E-3</v>
      </c>
      <c r="AD84">
        <f>AA84/1000*0.001*一般構造素材物性!$H$19</f>
        <v>1.4400000000000001E-2</v>
      </c>
      <c r="AF84">
        <f t="shared" si="5"/>
        <v>1.6425000000000003</v>
      </c>
    </row>
    <row r="85" spans="17:32">
      <c r="Q85">
        <v>76</v>
      </c>
      <c r="R85">
        <v>-20</v>
      </c>
      <c r="S85">
        <v>20</v>
      </c>
      <c r="T85">
        <v>20</v>
      </c>
      <c r="U85">
        <v>20</v>
      </c>
      <c r="V85">
        <v>20</v>
      </c>
      <c r="W85">
        <v>-19.999999999999996</v>
      </c>
      <c r="X85">
        <v>-20</v>
      </c>
      <c r="Y85">
        <v>-19.999999999999996</v>
      </c>
      <c r="AA85">
        <f t="shared" si="3"/>
        <v>160</v>
      </c>
      <c r="AB85">
        <f t="shared" si="4"/>
        <v>4</v>
      </c>
      <c r="AC85">
        <f>AB85/1000*一般構造素材物性!$I$37</f>
        <v>7.4999999999999997E-3</v>
      </c>
      <c r="AD85">
        <f>AA85/1000*0.001*一般構造素材物性!$H$19</f>
        <v>1.4400000000000001E-2</v>
      </c>
      <c r="AF85">
        <f t="shared" si="5"/>
        <v>1.6644000000000001</v>
      </c>
    </row>
    <row r="86" spans="17:32">
      <c r="Q86">
        <v>77</v>
      </c>
      <c r="R86">
        <v>-20</v>
      </c>
      <c r="S86">
        <v>20</v>
      </c>
      <c r="T86">
        <v>20</v>
      </c>
      <c r="U86">
        <v>20</v>
      </c>
      <c r="V86">
        <v>20</v>
      </c>
      <c r="W86">
        <v>-19.999999999999996</v>
      </c>
      <c r="X86">
        <v>-20</v>
      </c>
      <c r="Y86">
        <v>-19.999999999999996</v>
      </c>
      <c r="AA86">
        <f t="shared" si="3"/>
        <v>160</v>
      </c>
      <c r="AB86">
        <f t="shared" si="4"/>
        <v>4</v>
      </c>
      <c r="AC86">
        <f>AB86/1000*一般構造素材物性!$I$37</f>
        <v>7.4999999999999997E-3</v>
      </c>
      <c r="AD86">
        <f>AA86/1000*0.001*一般構造素材物性!$H$19</f>
        <v>1.4400000000000001E-2</v>
      </c>
      <c r="AF86">
        <f t="shared" si="5"/>
        <v>1.6863000000000001</v>
      </c>
    </row>
    <row r="87" spans="17:32">
      <c r="Q87">
        <v>78</v>
      </c>
      <c r="R87">
        <v>-20</v>
      </c>
      <c r="S87">
        <v>20</v>
      </c>
      <c r="T87">
        <v>20</v>
      </c>
      <c r="U87">
        <v>20</v>
      </c>
      <c r="V87">
        <v>20</v>
      </c>
      <c r="W87">
        <v>-19.999999999999996</v>
      </c>
      <c r="X87">
        <v>-20</v>
      </c>
      <c r="Y87">
        <v>-19.999999999999996</v>
      </c>
      <c r="AA87">
        <f t="shared" si="3"/>
        <v>160</v>
      </c>
      <c r="AB87">
        <f t="shared" si="4"/>
        <v>4</v>
      </c>
      <c r="AC87">
        <f>AB87/1000*一般構造素材物性!$I$37</f>
        <v>7.4999999999999997E-3</v>
      </c>
      <c r="AD87">
        <f>AA87/1000*0.001*一般構造素材物性!$H$19</f>
        <v>1.4400000000000001E-2</v>
      </c>
      <c r="AF87">
        <f t="shared" si="5"/>
        <v>1.7082000000000002</v>
      </c>
    </row>
    <row r="88" spans="17:32">
      <c r="Q88">
        <v>79</v>
      </c>
      <c r="R88">
        <v>-20</v>
      </c>
      <c r="S88">
        <v>20</v>
      </c>
      <c r="T88">
        <v>20</v>
      </c>
      <c r="U88">
        <v>20</v>
      </c>
      <c r="V88">
        <v>20</v>
      </c>
      <c r="W88">
        <v>-19.999999999999996</v>
      </c>
      <c r="X88">
        <v>-20</v>
      </c>
      <c r="Y88">
        <v>-19.999999999999996</v>
      </c>
      <c r="AA88">
        <f t="shared" si="3"/>
        <v>160</v>
      </c>
      <c r="AB88">
        <f t="shared" si="4"/>
        <v>4</v>
      </c>
      <c r="AC88">
        <f>AB88/1000*一般構造素材物性!$I$37</f>
        <v>7.4999999999999997E-3</v>
      </c>
      <c r="AD88">
        <f>AA88/1000*0.001*一般構造素材物性!$H$19</f>
        <v>1.4400000000000001E-2</v>
      </c>
      <c r="AF88">
        <f t="shared" si="5"/>
        <v>1.7301000000000002</v>
      </c>
    </row>
    <row r="89" spans="17:32">
      <c r="Q89">
        <v>80</v>
      </c>
      <c r="R89">
        <v>-20</v>
      </c>
      <c r="S89">
        <v>20</v>
      </c>
      <c r="T89">
        <v>20</v>
      </c>
      <c r="U89">
        <v>20</v>
      </c>
      <c r="V89">
        <v>20</v>
      </c>
      <c r="W89">
        <v>-19.999999999999996</v>
      </c>
      <c r="X89">
        <v>-20</v>
      </c>
      <c r="Y89">
        <v>-19.999999999999996</v>
      </c>
      <c r="AA89">
        <f t="shared" si="3"/>
        <v>160</v>
      </c>
      <c r="AB89">
        <f t="shared" si="4"/>
        <v>4</v>
      </c>
      <c r="AC89">
        <f>AB89/1000*一般構造素材物性!$I$37</f>
        <v>7.4999999999999997E-3</v>
      </c>
      <c r="AD89">
        <f>AA89/1000*0.001*一般構造素材物性!$H$19</f>
        <v>1.4400000000000001E-2</v>
      </c>
      <c r="AF89">
        <f t="shared" si="5"/>
        <v>1.7520000000000002</v>
      </c>
    </row>
    <row r="90" spans="17:32">
      <c r="Q90">
        <v>81</v>
      </c>
      <c r="R90">
        <v>-20</v>
      </c>
      <c r="S90">
        <v>20</v>
      </c>
      <c r="T90">
        <v>20</v>
      </c>
      <c r="U90">
        <v>20</v>
      </c>
      <c r="V90">
        <v>20</v>
      </c>
      <c r="W90">
        <v>-19.999999999999996</v>
      </c>
      <c r="X90">
        <v>-20</v>
      </c>
      <c r="Y90">
        <v>-19.999999999999996</v>
      </c>
      <c r="AA90">
        <f t="shared" si="3"/>
        <v>160</v>
      </c>
      <c r="AB90">
        <f t="shared" si="4"/>
        <v>4</v>
      </c>
      <c r="AC90">
        <f>AB90/1000*一般構造素材物性!$I$37</f>
        <v>7.4999999999999997E-3</v>
      </c>
      <c r="AD90">
        <f>AA90/1000*0.001*一般構造素材物性!$H$19</f>
        <v>1.4400000000000001E-2</v>
      </c>
      <c r="AF90">
        <f t="shared" si="5"/>
        <v>1.7739000000000003</v>
      </c>
    </row>
    <row r="91" spans="17:32">
      <c r="Q91">
        <v>82</v>
      </c>
      <c r="R91">
        <v>-20</v>
      </c>
      <c r="S91">
        <v>20</v>
      </c>
      <c r="T91">
        <v>20</v>
      </c>
      <c r="U91">
        <v>20</v>
      </c>
      <c r="V91">
        <v>20</v>
      </c>
      <c r="W91">
        <v>-19.999999999999996</v>
      </c>
      <c r="X91">
        <v>-20</v>
      </c>
      <c r="Y91">
        <v>-19.999999999999996</v>
      </c>
      <c r="AA91">
        <f t="shared" si="3"/>
        <v>160</v>
      </c>
      <c r="AB91">
        <f t="shared" si="4"/>
        <v>4</v>
      </c>
      <c r="AC91">
        <f>AB91/1000*一般構造素材物性!$I$37</f>
        <v>7.4999999999999997E-3</v>
      </c>
      <c r="AD91">
        <f>AA91/1000*0.001*一般構造素材物性!$H$19</f>
        <v>1.4400000000000001E-2</v>
      </c>
      <c r="AF91">
        <f t="shared" si="5"/>
        <v>1.7958000000000003</v>
      </c>
    </row>
    <row r="92" spans="17:32">
      <c r="Q92">
        <v>83</v>
      </c>
      <c r="R92">
        <v>-20</v>
      </c>
      <c r="S92">
        <v>20</v>
      </c>
      <c r="T92">
        <v>20</v>
      </c>
      <c r="U92">
        <v>20</v>
      </c>
      <c r="V92">
        <v>20</v>
      </c>
      <c r="W92">
        <v>-19.999999999999996</v>
      </c>
      <c r="X92">
        <v>-20</v>
      </c>
      <c r="Y92">
        <v>-19.999999999999996</v>
      </c>
      <c r="AA92">
        <f t="shared" si="3"/>
        <v>160</v>
      </c>
      <c r="AB92">
        <f t="shared" si="4"/>
        <v>4</v>
      </c>
      <c r="AC92">
        <f>AB92/1000*一般構造素材物性!$I$37</f>
        <v>7.4999999999999997E-3</v>
      </c>
      <c r="AD92">
        <f>AA92/1000*0.001*一般構造素材物性!$H$19</f>
        <v>1.4400000000000001E-2</v>
      </c>
      <c r="AF92">
        <f t="shared" si="5"/>
        <v>1.8177000000000003</v>
      </c>
    </row>
    <row r="93" spans="17:32">
      <c r="Q93">
        <v>84</v>
      </c>
      <c r="R93">
        <v>-20</v>
      </c>
      <c r="S93">
        <v>20</v>
      </c>
      <c r="T93">
        <v>20</v>
      </c>
      <c r="U93">
        <v>20</v>
      </c>
      <c r="V93">
        <v>20</v>
      </c>
      <c r="W93">
        <v>-19.999999999999996</v>
      </c>
      <c r="X93">
        <v>-20</v>
      </c>
      <c r="Y93">
        <v>-19.999999999999996</v>
      </c>
      <c r="AA93">
        <f t="shared" si="3"/>
        <v>160</v>
      </c>
      <c r="AB93">
        <f t="shared" si="4"/>
        <v>4</v>
      </c>
      <c r="AC93">
        <f>AB93/1000*一般構造素材物性!$I$37</f>
        <v>7.4999999999999997E-3</v>
      </c>
      <c r="AD93">
        <f>AA93/1000*0.001*一般構造素材物性!$H$19</f>
        <v>1.4400000000000001E-2</v>
      </c>
      <c r="AF93">
        <f t="shared" si="5"/>
        <v>1.8396000000000003</v>
      </c>
    </row>
    <row r="94" spans="17:32">
      <c r="Q94">
        <v>85</v>
      </c>
      <c r="R94">
        <v>-20</v>
      </c>
      <c r="S94">
        <v>20</v>
      </c>
      <c r="T94">
        <v>20</v>
      </c>
      <c r="U94">
        <v>20</v>
      </c>
      <c r="V94">
        <v>20</v>
      </c>
      <c r="W94">
        <v>-19.999999999999996</v>
      </c>
      <c r="X94">
        <v>-20</v>
      </c>
      <c r="Y94">
        <v>-19.999999999999996</v>
      </c>
      <c r="AA94">
        <f t="shared" si="3"/>
        <v>160</v>
      </c>
      <c r="AB94">
        <f t="shared" si="4"/>
        <v>4</v>
      </c>
      <c r="AC94">
        <f>AB94/1000*一般構造素材物性!$I$37</f>
        <v>7.4999999999999997E-3</v>
      </c>
      <c r="AD94">
        <f>AA94/1000*0.001*一般構造素材物性!$H$19</f>
        <v>1.4400000000000001E-2</v>
      </c>
      <c r="AF94">
        <f t="shared" si="5"/>
        <v>1.8615000000000002</v>
      </c>
    </row>
    <row r="95" spans="17:32">
      <c r="Q95">
        <v>86</v>
      </c>
      <c r="R95">
        <v>-20</v>
      </c>
      <c r="S95">
        <v>20</v>
      </c>
      <c r="T95">
        <v>20</v>
      </c>
      <c r="U95">
        <v>20</v>
      </c>
      <c r="V95">
        <v>20</v>
      </c>
      <c r="W95">
        <v>-19.999999999999996</v>
      </c>
      <c r="X95">
        <v>-20</v>
      </c>
      <c r="Y95">
        <v>-19.999999999999996</v>
      </c>
      <c r="AA95">
        <f t="shared" si="3"/>
        <v>160</v>
      </c>
      <c r="AB95">
        <f t="shared" si="4"/>
        <v>4</v>
      </c>
      <c r="AC95">
        <f>AB95/1000*一般構造素材物性!$I$37</f>
        <v>7.4999999999999997E-3</v>
      </c>
      <c r="AD95">
        <f>AA95/1000*0.001*一般構造素材物性!$H$19</f>
        <v>1.4400000000000001E-2</v>
      </c>
      <c r="AF95">
        <f t="shared" si="5"/>
        <v>1.8834000000000002</v>
      </c>
    </row>
    <row r="96" spans="17:32">
      <c r="Q96">
        <v>87</v>
      </c>
      <c r="R96">
        <v>-20</v>
      </c>
      <c r="S96">
        <v>20</v>
      </c>
      <c r="T96">
        <v>20</v>
      </c>
      <c r="U96">
        <v>20</v>
      </c>
      <c r="V96">
        <v>20</v>
      </c>
      <c r="W96">
        <v>-19.999999999999996</v>
      </c>
      <c r="X96">
        <v>-20</v>
      </c>
      <c r="Y96">
        <v>-19.999999999999996</v>
      </c>
      <c r="AA96">
        <f t="shared" si="3"/>
        <v>160</v>
      </c>
      <c r="AB96">
        <f t="shared" si="4"/>
        <v>4</v>
      </c>
      <c r="AC96">
        <f>AB96/1000*一般構造素材物性!$I$37</f>
        <v>7.4999999999999997E-3</v>
      </c>
      <c r="AD96">
        <f>AA96/1000*0.001*一般構造素材物性!$H$19</f>
        <v>1.4400000000000001E-2</v>
      </c>
      <c r="AF96">
        <f t="shared" si="5"/>
        <v>1.9053000000000002</v>
      </c>
    </row>
    <row r="97" spans="17:32">
      <c r="Q97">
        <v>88</v>
      </c>
      <c r="R97">
        <v>-20</v>
      </c>
      <c r="S97">
        <v>20</v>
      </c>
      <c r="T97">
        <v>20</v>
      </c>
      <c r="U97">
        <v>20</v>
      </c>
      <c r="V97">
        <v>20</v>
      </c>
      <c r="W97">
        <v>-19.999999999999996</v>
      </c>
      <c r="X97">
        <v>-20</v>
      </c>
      <c r="Y97">
        <v>-19.999999999999996</v>
      </c>
      <c r="AA97">
        <f t="shared" si="3"/>
        <v>160</v>
      </c>
      <c r="AB97">
        <f t="shared" si="4"/>
        <v>4</v>
      </c>
      <c r="AC97">
        <f>AB97/1000*一般構造素材物性!$I$37</f>
        <v>7.4999999999999997E-3</v>
      </c>
      <c r="AD97">
        <f>AA97/1000*0.001*一般構造素材物性!$H$19</f>
        <v>1.4400000000000001E-2</v>
      </c>
      <c r="AF97">
        <f t="shared" si="5"/>
        <v>1.9272000000000002</v>
      </c>
    </row>
    <row r="98" spans="17:32">
      <c r="Q98">
        <v>89</v>
      </c>
      <c r="R98">
        <v>-20</v>
      </c>
      <c r="S98">
        <v>20</v>
      </c>
      <c r="T98">
        <v>20</v>
      </c>
      <c r="U98">
        <v>20</v>
      </c>
      <c r="V98">
        <v>20</v>
      </c>
      <c r="W98">
        <v>-19.999999999999996</v>
      </c>
      <c r="X98">
        <v>-20</v>
      </c>
      <c r="Y98">
        <v>-19.999999999999996</v>
      </c>
      <c r="AA98">
        <f t="shared" si="3"/>
        <v>160</v>
      </c>
      <c r="AB98">
        <f t="shared" si="4"/>
        <v>4</v>
      </c>
      <c r="AC98">
        <f>AB98/1000*一般構造素材物性!$I$37</f>
        <v>7.4999999999999997E-3</v>
      </c>
      <c r="AD98">
        <f>AA98/1000*0.001*一般構造素材物性!$H$19</f>
        <v>1.4400000000000001E-2</v>
      </c>
      <c r="AF98">
        <f t="shared" si="5"/>
        <v>1.9491000000000003</v>
      </c>
    </row>
    <row r="99" spans="17:32">
      <c r="Q99">
        <v>90</v>
      </c>
      <c r="R99">
        <v>-20</v>
      </c>
      <c r="S99">
        <v>20</v>
      </c>
      <c r="T99">
        <v>20</v>
      </c>
      <c r="U99">
        <v>20</v>
      </c>
      <c r="V99">
        <v>20</v>
      </c>
      <c r="W99">
        <v>-19.999999999999996</v>
      </c>
      <c r="X99">
        <v>-20</v>
      </c>
      <c r="Y99">
        <v>-19.999999999999996</v>
      </c>
      <c r="AA99">
        <f t="shared" si="3"/>
        <v>160</v>
      </c>
      <c r="AB99">
        <f t="shared" si="4"/>
        <v>4</v>
      </c>
      <c r="AC99">
        <f>AB99/1000*一般構造素材物性!$I$37</f>
        <v>7.4999999999999997E-3</v>
      </c>
      <c r="AD99">
        <f>AA99/1000*0.001*一般構造素材物性!$H$19</f>
        <v>1.4400000000000001E-2</v>
      </c>
      <c r="AF99">
        <f t="shared" si="5"/>
        <v>1.9710000000000003</v>
      </c>
    </row>
    <row r="100" spans="17:32">
      <c r="Q100">
        <v>91</v>
      </c>
      <c r="R100">
        <v>-20</v>
      </c>
      <c r="S100">
        <v>20</v>
      </c>
      <c r="T100">
        <v>20</v>
      </c>
      <c r="U100">
        <v>20</v>
      </c>
      <c r="V100">
        <v>20</v>
      </c>
      <c r="W100">
        <v>-19.999999999999996</v>
      </c>
      <c r="X100">
        <v>-20</v>
      </c>
      <c r="Y100">
        <v>-19.999999999999996</v>
      </c>
      <c r="AA100">
        <f t="shared" si="3"/>
        <v>160</v>
      </c>
      <c r="AB100">
        <f t="shared" si="4"/>
        <v>4</v>
      </c>
      <c r="AC100">
        <f>AB100/1000*一般構造素材物性!$I$37</f>
        <v>7.4999999999999997E-3</v>
      </c>
      <c r="AD100">
        <f>AA100/1000*0.001*一般構造素材物性!$H$19</f>
        <v>1.4400000000000001E-2</v>
      </c>
      <c r="AF100">
        <f t="shared" si="5"/>
        <v>1.9929000000000003</v>
      </c>
    </row>
    <row r="101" spans="17:32">
      <c r="Q101">
        <v>92</v>
      </c>
      <c r="R101">
        <v>-20</v>
      </c>
      <c r="S101">
        <v>20</v>
      </c>
      <c r="T101">
        <v>20</v>
      </c>
      <c r="U101">
        <v>20</v>
      </c>
      <c r="V101">
        <v>20</v>
      </c>
      <c r="W101">
        <v>-19.999999999999996</v>
      </c>
      <c r="X101">
        <v>-20</v>
      </c>
      <c r="Y101">
        <v>-19.999999999999996</v>
      </c>
      <c r="AA101">
        <f t="shared" si="3"/>
        <v>160</v>
      </c>
      <c r="AB101">
        <f t="shared" si="4"/>
        <v>4</v>
      </c>
      <c r="AC101">
        <f>AB101/1000*一般構造素材物性!$I$37</f>
        <v>7.4999999999999997E-3</v>
      </c>
      <c r="AD101">
        <f>AA101/1000*0.001*一般構造素材物性!$H$19</f>
        <v>1.4400000000000001E-2</v>
      </c>
      <c r="AF101">
        <f t="shared" si="5"/>
        <v>2.0148000000000001</v>
      </c>
    </row>
    <row r="102" spans="17:32">
      <c r="Q102">
        <v>93</v>
      </c>
      <c r="R102">
        <v>-20</v>
      </c>
      <c r="S102">
        <v>20</v>
      </c>
      <c r="T102">
        <v>20</v>
      </c>
      <c r="U102">
        <v>20</v>
      </c>
      <c r="V102">
        <v>20</v>
      </c>
      <c r="W102">
        <v>-19.999999999999996</v>
      </c>
      <c r="X102">
        <v>-20</v>
      </c>
      <c r="Y102">
        <v>-19.999999999999996</v>
      </c>
      <c r="AA102">
        <f t="shared" si="3"/>
        <v>160</v>
      </c>
      <c r="AB102">
        <f t="shared" si="4"/>
        <v>4</v>
      </c>
      <c r="AC102">
        <f>AB102/1000*一般構造素材物性!$I$37</f>
        <v>7.4999999999999997E-3</v>
      </c>
      <c r="AD102">
        <f>AA102/1000*0.001*一般構造素材物性!$H$19</f>
        <v>1.4400000000000001E-2</v>
      </c>
      <c r="AF102">
        <f t="shared" si="5"/>
        <v>2.0367000000000002</v>
      </c>
    </row>
    <row r="103" spans="17:32">
      <c r="Q103">
        <v>94</v>
      </c>
      <c r="R103">
        <v>-20</v>
      </c>
      <c r="S103">
        <v>20</v>
      </c>
      <c r="T103">
        <v>20</v>
      </c>
      <c r="U103">
        <v>20</v>
      </c>
      <c r="V103">
        <v>20</v>
      </c>
      <c r="W103">
        <v>-19.999999999999996</v>
      </c>
      <c r="X103">
        <v>-20</v>
      </c>
      <c r="Y103">
        <v>-19.999999999999996</v>
      </c>
      <c r="AA103">
        <f t="shared" si="3"/>
        <v>160</v>
      </c>
      <c r="AB103">
        <f t="shared" si="4"/>
        <v>4</v>
      </c>
      <c r="AC103">
        <f>AB103/1000*一般構造素材物性!$I$37</f>
        <v>7.4999999999999997E-3</v>
      </c>
      <c r="AD103">
        <f>AA103/1000*0.001*一般構造素材物性!$H$19</f>
        <v>1.4400000000000001E-2</v>
      </c>
      <c r="AF103">
        <f t="shared" si="5"/>
        <v>2.0586000000000002</v>
      </c>
    </row>
    <row r="104" spans="17:32">
      <c r="Q104">
        <v>95</v>
      </c>
      <c r="R104">
        <v>-20</v>
      </c>
      <c r="S104">
        <v>20</v>
      </c>
      <c r="T104">
        <v>20</v>
      </c>
      <c r="U104">
        <v>20</v>
      </c>
      <c r="V104">
        <v>20</v>
      </c>
      <c r="W104">
        <v>-19.999999999999996</v>
      </c>
      <c r="X104">
        <v>-20</v>
      </c>
      <c r="Y104">
        <v>-19.999999999999996</v>
      </c>
      <c r="AA104">
        <f t="shared" si="3"/>
        <v>160</v>
      </c>
      <c r="AB104">
        <f t="shared" si="4"/>
        <v>4</v>
      </c>
      <c r="AC104">
        <f>AB104/1000*一般構造素材物性!$I$37</f>
        <v>7.4999999999999997E-3</v>
      </c>
      <c r="AD104">
        <f>AA104/1000*0.001*一般構造素材物性!$H$19</f>
        <v>1.4400000000000001E-2</v>
      </c>
      <c r="AF104">
        <f t="shared" si="5"/>
        <v>2.0805000000000002</v>
      </c>
    </row>
    <row r="105" spans="17:32">
      <c r="Q105">
        <v>96</v>
      </c>
      <c r="R105">
        <v>-20</v>
      </c>
      <c r="S105">
        <v>20</v>
      </c>
      <c r="T105">
        <v>20</v>
      </c>
      <c r="U105">
        <v>20</v>
      </c>
      <c r="V105">
        <v>20</v>
      </c>
      <c r="W105">
        <v>-19.999999999999996</v>
      </c>
      <c r="X105">
        <v>-20</v>
      </c>
      <c r="Y105">
        <v>-19.999999999999996</v>
      </c>
      <c r="AA105">
        <f t="shared" si="3"/>
        <v>160</v>
      </c>
      <c r="AB105">
        <f t="shared" si="4"/>
        <v>4</v>
      </c>
      <c r="AC105">
        <f>AB105/1000*一般構造素材物性!$I$37</f>
        <v>7.4999999999999997E-3</v>
      </c>
      <c r="AD105">
        <f>AA105/1000*0.001*一般構造素材物性!$H$19</f>
        <v>1.4400000000000001E-2</v>
      </c>
      <c r="AF105">
        <f t="shared" si="5"/>
        <v>2.1024000000000003</v>
      </c>
    </row>
    <row r="106" spans="17:32">
      <c r="Q106">
        <v>97</v>
      </c>
      <c r="R106">
        <v>-20</v>
      </c>
      <c r="S106">
        <v>20</v>
      </c>
      <c r="T106">
        <v>20</v>
      </c>
      <c r="U106">
        <v>20</v>
      </c>
      <c r="V106">
        <v>20</v>
      </c>
      <c r="W106">
        <v>-19.999999999999996</v>
      </c>
      <c r="X106">
        <v>-20</v>
      </c>
      <c r="Y106">
        <v>-19.999999999999996</v>
      </c>
      <c r="AA106">
        <f t="shared" si="3"/>
        <v>160</v>
      </c>
      <c r="AB106">
        <f t="shared" si="4"/>
        <v>4</v>
      </c>
      <c r="AC106">
        <f>AB106/1000*一般構造素材物性!$I$37</f>
        <v>7.4999999999999997E-3</v>
      </c>
      <c r="AD106">
        <f>AA106/1000*0.001*一般構造素材物性!$H$19</f>
        <v>1.4400000000000001E-2</v>
      </c>
      <c r="AF106">
        <f t="shared" si="5"/>
        <v>2.1243000000000003</v>
      </c>
    </row>
    <row r="107" spans="17:32">
      <c r="Q107">
        <v>98</v>
      </c>
      <c r="R107">
        <v>-20</v>
      </c>
      <c r="S107">
        <v>20</v>
      </c>
      <c r="T107">
        <v>20</v>
      </c>
      <c r="U107">
        <v>20</v>
      </c>
      <c r="V107">
        <v>20</v>
      </c>
      <c r="W107">
        <v>-19.999999999999996</v>
      </c>
      <c r="X107">
        <v>-20</v>
      </c>
      <c r="Y107">
        <v>-19.999999999999996</v>
      </c>
      <c r="AA107">
        <f t="shared" si="3"/>
        <v>160</v>
      </c>
      <c r="AB107">
        <f t="shared" si="4"/>
        <v>4</v>
      </c>
      <c r="AC107">
        <f>AB107/1000*一般構造素材物性!$I$37</f>
        <v>7.4999999999999997E-3</v>
      </c>
      <c r="AD107">
        <f>AA107/1000*0.001*一般構造素材物性!$H$19</f>
        <v>1.4400000000000001E-2</v>
      </c>
      <c r="AF107">
        <f t="shared" si="5"/>
        <v>2.1462000000000003</v>
      </c>
    </row>
    <row r="108" spans="17:32">
      <c r="Q108">
        <v>99</v>
      </c>
      <c r="R108">
        <v>-20</v>
      </c>
      <c r="S108">
        <v>20</v>
      </c>
      <c r="T108">
        <v>20</v>
      </c>
      <c r="U108">
        <v>20</v>
      </c>
      <c r="V108">
        <v>20</v>
      </c>
      <c r="W108">
        <v>-20</v>
      </c>
      <c r="X108">
        <v>-20</v>
      </c>
      <c r="Y108">
        <v>-20</v>
      </c>
      <c r="AA108">
        <f t="shared" si="3"/>
        <v>160</v>
      </c>
      <c r="AB108">
        <f t="shared" si="4"/>
        <v>4</v>
      </c>
      <c r="AC108">
        <f>AB108/1000*一般構造素材物性!$I$37</f>
        <v>7.4999999999999997E-3</v>
      </c>
      <c r="AD108">
        <f>AA108/1000*0.001*一般構造素材物性!$H$19</f>
        <v>1.4400000000000001E-2</v>
      </c>
      <c r="AF108">
        <f t="shared" si="5"/>
        <v>2.1681000000000004</v>
      </c>
    </row>
    <row r="109" spans="17:32">
      <c r="Q109">
        <v>100</v>
      </c>
      <c r="R109">
        <v>-20</v>
      </c>
      <c r="S109">
        <v>20</v>
      </c>
      <c r="T109">
        <v>20</v>
      </c>
      <c r="U109">
        <v>20</v>
      </c>
      <c r="V109">
        <v>20</v>
      </c>
      <c r="W109">
        <v>-20</v>
      </c>
      <c r="X109">
        <v>-20</v>
      </c>
      <c r="Y109">
        <v>-20</v>
      </c>
      <c r="AA109">
        <f t="shared" si="3"/>
        <v>160</v>
      </c>
      <c r="AB109">
        <f t="shared" si="4"/>
        <v>4</v>
      </c>
      <c r="AC109">
        <f>AB109/1000*一般構造素材物性!$I$37</f>
        <v>7.4999999999999997E-3</v>
      </c>
      <c r="AD109">
        <f>AA109/1000*0.001*一般構造素材物性!$H$19</f>
        <v>1.4400000000000001E-2</v>
      </c>
      <c r="AF109">
        <f t="shared" si="5"/>
        <v>2.1900000000000004</v>
      </c>
    </row>
    <row r="110" spans="17:32">
      <c r="Q110">
        <v>101</v>
      </c>
      <c r="R110">
        <v>-20</v>
      </c>
      <c r="S110">
        <v>20</v>
      </c>
      <c r="T110">
        <v>20</v>
      </c>
      <c r="U110">
        <v>20</v>
      </c>
      <c r="V110">
        <v>20</v>
      </c>
      <c r="W110">
        <v>-20</v>
      </c>
      <c r="X110">
        <v>-20</v>
      </c>
      <c r="Y110">
        <v>-20</v>
      </c>
      <c r="AA110">
        <f t="shared" si="3"/>
        <v>160</v>
      </c>
      <c r="AB110">
        <f t="shared" si="4"/>
        <v>4</v>
      </c>
      <c r="AC110">
        <f>AB110/1000*一般構造素材物性!$I$37</f>
        <v>7.4999999999999997E-3</v>
      </c>
      <c r="AD110">
        <f>AA110/1000*0.001*一般構造素材物性!$H$19</f>
        <v>1.4400000000000001E-2</v>
      </c>
      <c r="AF110">
        <f t="shared" si="5"/>
        <v>2.2119000000000004</v>
      </c>
    </row>
    <row r="111" spans="17:32">
      <c r="Q111">
        <v>102</v>
      </c>
      <c r="R111">
        <v>-20</v>
      </c>
      <c r="S111">
        <v>20</v>
      </c>
      <c r="T111">
        <v>20</v>
      </c>
      <c r="U111">
        <v>20</v>
      </c>
      <c r="V111">
        <v>20</v>
      </c>
      <c r="W111">
        <v>-20</v>
      </c>
      <c r="X111">
        <v>-20</v>
      </c>
      <c r="Y111">
        <v>-20</v>
      </c>
      <c r="AA111">
        <f t="shared" si="3"/>
        <v>160</v>
      </c>
      <c r="AB111">
        <f t="shared" si="4"/>
        <v>4</v>
      </c>
      <c r="AC111">
        <f>AB111/1000*一般構造素材物性!$I$37</f>
        <v>7.4999999999999997E-3</v>
      </c>
      <c r="AD111">
        <f>AA111/1000*0.001*一般構造素材物性!$H$19</f>
        <v>1.4400000000000001E-2</v>
      </c>
      <c r="AF111">
        <f t="shared" si="5"/>
        <v>2.2338000000000005</v>
      </c>
    </row>
    <row r="112" spans="17:32">
      <c r="Q112">
        <v>103</v>
      </c>
      <c r="R112">
        <v>-20</v>
      </c>
      <c r="S112">
        <v>20</v>
      </c>
      <c r="T112">
        <v>20</v>
      </c>
      <c r="U112">
        <v>20</v>
      </c>
      <c r="V112">
        <v>20</v>
      </c>
      <c r="W112">
        <v>-20</v>
      </c>
      <c r="X112">
        <v>-20</v>
      </c>
      <c r="Y112">
        <v>-20</v>
      </c>
      <c r="AA112">
        <f t="shared" si="3"/>
        <v>160</v>
      </c>
      <c r="AB112">
        <f t="shared" si="4"/>
        <v>4</v>
      </c>
      <c r="AC112">
        <f>AB112/1000*一般構造素材物性!$I$37</f>
        <v>7.4999999999999997E-3</v>
      </c>
      <c r="AD112">
        <f>AA112/1000*0.001*一般構造素材物性!$H$19</f>
        <v>1.4400000000000001E-2</v>
      </c>
      <c r="AF112">
        <f t="shared" si="5"/>
        <v>2.2557000000000005</v>
      </c>
    </row>
    <row r="113" spans="17:32">
      <c r="Q113">
        <v>104</v>
      </c>
      <c r="R113">
        <v>-20</v>
      </c>
      <c r="S113">
        <v>20</v>
      </c>
      <c r="T113">
        <v>20</v>
      </c>
      <c r="U113">
        <v>20</v>
      </c>
      <c r="V113">
        <v>20</v>
      </c>
      <c r="W113">
        <v>-20</v>
      </c>
      <c r="X113">
        <v>-20</v>
      </c>
      <c r="Y113">
        <v>-20</v>
      </c>
      <c r="AA113">
        <f t="shared" si="3"/>
        <v>160</v>
      </c>
      <c r="AB113">
        <f t="shared" si="4"/>
        <v>4</v>
      </c>
      <c r="AC113">
        <f>AB113/1000*一般構造素材物性!$I$37</f>
        <v>7.4999999999999997E-3</v>
      </c>
      <c r="AD113">
        <f>AA113/1000*0.001*一般構造素材物性!$H$19</f>
        <v>1.4400000000000001E-2</v>
      </c>
      <c r="AF113">
        <f t="shared" si="5"/>
        <v>2.2776000000000005</v>
      </c>
    </row>
    <row r="114" spans="17:32">
      <c r="Q114">
        <v>105</v>
      </c>
      <c r="R114">
        <v>-20</v>
      </c>
      <c r="S114">
        <v>20</v>
      </c>
      <c r="T114">
        <v>20</v>
      </c>
      <c r="U114">
        <v>20</v>
      </c>
      <c r="V114">
        <v>20</v>
      </c>
      <c r="W114">
        <v>-20</v>
      </c>
      <c r="X114">
        <v>-20</v>
      </c>
      <c r="Y114">
        <v>-20</v>
      </c>
      <c r="AA114">
        <f t="shared" si="3"/>
        <v>160</v>
      </c>
      <c r="AB114">
        <f t="shared" si="4"/>
        <v>4</v>
      </c>
      <c r="AC114">
        <f>AB114/1000*一般構造素材物性!$I$37</f>
        <v>7.4999999999999997E-3</v>
      </c>
      <c r="AD114">
        <f>AA114/1000*0.001*一般構造素材物性!$H$19</f>
        <v>1.4400000000000001E-2</v>
      </c>
      <c r="AF114">
        <f t="shared" si="5"/>
        <v>2.2995000000000001</v>
      </c>
    </row>
    <row r="115" spans="17:32">
      <c r="Q115">
        <v>106</v>
      </c>
      <c r="R115">
        <v>-20</v>
      </c>
      <c r="S115">
        <v>20</v>
      </c>
      <c r="T115">
        <v>20</v>
      </c>
      <c r="U115">
        <v>20</v>
      </c>
      <c r="V115">
        <v>20</v>
      </c>
      <c r="W115">
        <v>-20</v>
      </c>
      <c r="X115">
        <v>-20</v>
      </c>
      <c r="Y115">
        <v>-20</v>
      </c>
      <c r="AA115">
        <f t="shared" si="3"/>
        <v>160</v>
      </c>
      <c r="AB115">
        <f t="shared" si="4"/>
        <v>4</v>
      </c>
      <c r="AC115">
        <f>AB115/1000*一般構造素材物性!$I$37</f>
        <v>7.4999999999999997E-3</v>
      </c>
      <c r="AD115">
        <f>AA115/1000*0.001*一般構造素材物性!$H$19</f>
        <v>1.4400000000000001E-2</v>
      </c>
      <c r="AF115">
        <f t="shared" si="5"/>
        <v>2.3214000000000001</v>
      </c>
    </row>
    <row r="116" spans="17:32">
      <c r="Q116">
        <v>107</v>
      </c>
      <c r="R116">
        <v>-20</v>
      </c>
      <c r="S116">
        <v>20</v>
      </c>
      <c r="T116">
        <v>20</v>
      </c>
      <c r="U116">
        <v>20</v>
      </c>
      <c r="V116">
        <v>20</v>
      </c>
      <c r="W116">
        <v>-20</v>
      </c>
      <c r="X116">
        <v>-20</v>
      </c>
      <c r="Y116">
        <v>-20</v>
      </c>
      <c r="AA116">
        <f t="shared" si="3"/>
        <v>160</v>
      </c>
      <c r="AB116">
        <f t="shared" si="4"/>
        <v>4</v>
      </c>
      <c r="AC116">
        <f>AB116/1000*一般構造素材物性!$I$37</f>
        <v>7.4999999999999997E-3</v>
      </c>
      <c r="AD116">
        <f>AA116/1000*0.001*一般構造素材物性!$H$19</f>
        <v>1.4400000000000001E-2</v>
      </c>
      <c r="AF116">
        <f t="shared" si="5"/>
        <v>2.3433000000000002</v>
      </c>
    </row>
    <row r="117" spans="17:32">
      <c r="Q117">
        <v>108</v>
      </c>
      <c r="R117">
        <v>-20</v>
      </c>
      <c r="S117">
        <v>20</v>
      </c>
      <c r="T117">
        <v>20</v>
      </c>
      <c r="U117">
        <v>20</v>
      </c>
      <c r="V117">
        <v>20</v>
      </c>
      <c r="W117">
        <v>-20</v>
      </c>
      <c r="X117">
        <v>-20</v>
      </c>
      <c r="Y117">
        <v>-20</v>
      </c>
      <c r="AA117">
        <f t="shared" si="3"/>
        <v>160</v>
      </c>
      <c r="AB117">
        <f t="shared" si="4"/>
        <v>4</v>
      </c>
      <c r="AC117">
        <f>AB117/1000*一般構造素材物性!$I$37</f>
        <v>7.4999999999999997E-3</v>
      </c>
      <c r="AD117">
        <f>AA117/1000*0.001*一般構造素材物性!$H$19</f>
        <v>1.4400000000000001E-2</v>
      </c>
      <c r="AF117">
        <f t="shared" si="5"/>
        <v>2.3652000000000002</v>
      </c>
    </row>
    <row r="118" spans="17:32">
      <c r="Q118">
        <v>109</v>
      </c>
      <c r="R118">
        <v>-20</v>
      </c>
      <c r="S118">
        <v>20</v>
      </c>
      <c r="T118">
        <v>20</v>
      </c>
      <c r="U118">
        <v>20</v>
      </c>
      <c r="V118">
        <v>20</v>
      </c>
      <c r="W118">
        <v>-20</v>
      </c>
      <c r="X118">
        <v>-20</v>
      </c>
      <c r="Y118">
        <v>-20</v>
      </c>
      <c r="AA118">
        <f t="shared" si="3"/>
        <v>160</v>
      </c>
      <c r="AB118">
        <f t="shared" si="4"/>
        <v>4</v>
      </c>
      <c r="AC118">
        <f>AB118/1000*一般構造素材物性!$I$37</f>
        <v>7.4999999999999997E-3</v>
      </c>
      <c r="AD118">
        <f>AA118/1000*0.001*一般構造素材物性!$H$19</f>
        <v>1.4400000000000001E-2</v>
      </c>
      <c r="AF118">
        <f t="shared" si="5"/>
        <v>2.3871000000000002</v>
      </c>
    </row>
    <row r="119" spans="17:32">
      <c r="Q119">
        <v>110</v>
      </c>
      <c r="R119">
        <v>-20</v>
      </c>
      <c r="S119">
        <v>20</v>
      </c>
      <c r="T119">
        <v>20</v>
      </c>
      <c r="U119">
        <v>20</v>
      </c>
      <c r="V119">
        <v>20</v>
      </c>
      <c r="W119">
        <v>-20</v>
      </c>
      <c r="X119">
        <v>-20</v>
      </c>
      <c r="Y119">
        <v>-20</v>
      </c>
      <c r="AA119">
        <f t="shared" si="3"/>
        <v>160</v>
      </c>
      <c r="AB119">
        <f t="shared" si="4"/>
        <v>4</v>
      </c>
      <c r="AC119">
        <f>AB119/1000*一般構造素材物性!$I$37</f>
        <v>7.4999999999999997E-3</v>
      </c>
      <c r="AD119">
        <f>AA119/1000*0.001*一般構造素材物性!$H$19</f>
        <v>1.4400000000000001E-2</v>
      </c>
      <c r="AF119">
        <f t="shared" si="5"/>
        <v>2.4090000000000003</v>
      </c>
    </row>
    <row r="120" spans="17:32">
      <c r="Q120">
        <v>111</v>
      </c>
      <c r="R120">
        <v>-20</v>
      </c>
      <c r="S120">
        <v>20</v>
      </c>
      <c r="T120">
        <v>20</v>
      </c>
      <c r="U120">
        <v>20</v>
      </c>
      <c r="V120">
        <v>20</v>
      </c>
      <c r="W120">
        <v>-20</v>
      </c>
      <c r="X120">
        <v>-20</v>
      </c>
      <c r="Y120">
        <v>-20</v>
      </c>
      <c r="AA120">
        <f t="shared" si="3"/>
        <v>160</v>
      </c>
      <c r="AB120">
        <f t="shared" si="4"/>
        <v>4</v>
      </c>
      <c r="AC120">
        <f>AB120/1000*一般構造素材物性!$I$37</f>
        <v>7.4999999999999997E-3</v>
      </c>
      <c r="AD120">
        <f>AA120/1000*0.001*一般構造素材物性!$H$19</f>
        <v>1.4400000000000001E-2</v>
      </c>
      <c r="AF120">
        <f t="shared" si="5"/>
        <v>2.4309000000000003</v>
      </c>
    </row>
    <row r="121" spans="17:32">
      <c r="Q121">
        <v>112</v>
      </c>
      <c r="R121">
        <v>-20</v>
      </c>
      <c r="S121">
        <v>20</v>
      </c>
      <c r="T121">
        <v>20</v>
      </c>
      <c r="U121">
        <v>20</v>
      </c>
      <c r="V121">
        <v>20</v>
      </c>
      <c r="W121">
        <v>-20</v>
      </c>
      <c r="X121">
        <v>-20</v>
      </c>
      <c r="Y121">
        <v>-20</v>
      </c>
      <c r="AA121">
        <f t="shared" si="3"/>
        <v>160</v>
      </c>
      <c r="AB121">
        <f t="shared" si="4"/>
        <v>4</v>
      </c>
      <c r="AC121">
        <f>AB121/1000*一般構造素材物性!$I$37</f>
        <v>7.4999999999999997E-3</v>
      </c>
      <c r="AD121">
        <f>AA121/1000*0.001*一般構造素材物性!$H$19</f>
        <v>1.4400000000000001E-2</v>
      </c>
      <c r="AF121">
        <f t="shared" si="5"/>
        <v>2.4528000000000003</v>
      </c>
    </row>
    <row r="122" spans="17:32">
      <c r="Q122">
        <v>113</v>
      </c>
      <c r="R122">
        <v>-20</v>
      </c>
      <c r="S122">
        <v>20</v>
      </c>
      <c r="T122">
        <v>20</v>
      </c>
      <c r="U122">
        <v>20</v>
      </c>
      <c r="V122">
        <v>20</v>
      </c>
      <c r="W122">
        <v>-20</v>
      </c>
      <c r="X122">
        <v>-20</v>
      </c>
      <c r="Y122">
        <v>-20</v>
      </c>
      <c r="AA122">
        <f t="shared" si="3"/>
        <v>160</v>
      </c>
      <c r="AB122">
        <f t="shared" si="4"/>
        <v>4</v>
      </c>
      <c r="AC122">
        <f>AB122/1000*一般構造素材物性!$I$37</f>
        <v>7.4999999999999997E-3</v>
      </c>
      <c r="AD122">
        <f>AA122/1000*0.001*一般構造素材物性!$H$19</f>
        <v>1.4400000000000001E-2</v>
      </c>
      <c r="AF122">
        <f t="shared" si="5"/>
        <v>2.4747000000000003</v>
      </c>
    </row>
    <row r="123" spans="17:32">
      <c r="Q123">
        <v>114</v>
      </c>
      <c r="R123">
        <v>-20</v>
      </c>
      <c r="S123">
        <v>20</v>
      </c>
      <c r="T123">
        <v>20</v>
      </c>
      <c r="U123">
        <v>20</v>
      </c>
      <c r="V123">
        <v>20</v>
      </c>
      <c r="W123">
        <v>-20</v>
      </c>
      <c r="X123">
        <v>-20</v>
      </c>
      <c r="Y123">
        <v>-20</v>
      </c>
      <c r="AA123">
        <f t="shared" si="3"/>
        <v>160</v>
      </c>
      <c r="AB123">
        <f t="shared" si="4"/>
        <v>4</v>
      </c>
      <c r="AC123">
        <f>AB123/1000*一般構造素材物性!$I$37</f>
        <v>7.4999999999999997E-3</v>
      </c>
      <c r="AD123">
        <f>AA123/1000*0.001*一般構造素材物性!$H$19</f>
        <v>1.4400000000000001E-2</v>
      </c>
      <c r="AF123">
        <f t="shared" si="5"/>
        <v>2.4966000000000004</v>
      </c>
    </row>
    <row r="124" spans="17:32">
      <c r="Q124">
        <v>115</v>
      </c>
      <c r="R124">
        <v>-20</v>
      </c>
      <c r="S124">
        <v>20</v>
      </c>
      <c r="T124">
        <v>20</v>
      </c>
      <c r="U124">
        <v>20</v>
      </c>
      <c r="V124">
        <v>20</v>
      </c>
      <c r="W124">
        <v>-20</v>
      </c>
      <c r="X124">
        <v>-20</v>
      </c>
      <c r="Y124">
        <v>-20</v>
      </c>
      <c r="AA124">
        <f t="shared" si="3"/>
        <v>160</v>
      </c>
      <c r="AB124">
        <f t="shared" si="4"/>
        <v>4</v>
      </c>
      <c r="AC124">
        <f>AB124/1000*一般構造素材物性!$I$37</f>
        <v>7.4999999999999997E-3</v>
      </c>
      <c r="AD124">
        <f>AA124/1000*0.001*一般構造素材物性!$H$19</f>
        <v>1.4400000000000001E-2</v>
      </c>
      <c r="AF124">
        <f t="shared" si="5"/>
        <v>2.5185000000000004</v>
      </c>
    </row>
    <row r="125" spans="17:32">
      <c r="Q125">
        <v>116</v>
      </c>
      <c r="R125">
        <v>-20</v>
      </c>
      <c r="S125">
        <v>20</v>
      </c>
      <c r="T125">
        <v>20</v>
      </c>
      <c r="U125">
        <v>20</v>
      </c>
      <c r="V125">
        <v>20</v>
      </c>
      <c r="W125">
        <v>-20</v>
      </c>
      <c r="X125">
        <v>-20</v>
      </c>
      <c r="Y125">
        <v>-20</v>
      </c>
      <c r="AA125">
        <f t="shared" si="3"/>
        <v>160</v>
      </c>
      <c r="AB125">
        <f t="shared" si="4"/>
        <v>4</v>
      </c>
      <c r="AC125">
        <f>AB125/1000*一般構造素材物性!$I$37</f>
        <v>7.4999999999999997E-3</v>
      </c>
      <c r="AD125">
        <f>AA125/1000*0.001*一般構造素材物性!$H$19</f>
        <v>1.4400000000000001E-2</v>
      </c>
      <c r="AF125">
        <f t="shared" si="5"/>
        <v>2.5404000000000004</v>
      </c>
    </row>
    <row r="126" spans="17:32">
      <c r="Q126">
        <v>117</v>
      </c>
      <c r="R126">
        <v>-20</v>
      </c>
      <c r="S126">
        <v>20</v>
      </c>
      <c r="T126">
        <v>20</v>
      </c>
      <c r="U126">
        <v>20</v>
      </c>
      <c r="V126">
        <v>20</v>
      </c>
      <c r="W126">
        <v>-20</v>
      </c>
      <c r="X126">
        <v>-20</v>
      </c>
      <c r="Y126">
        <v>-20</v>
      </c>
      <c r="AA126">
        <f t="shared" si="3"/>
        <v>160</v>
      </c>
      <c r="AB126">
        <f t="shared" si="4"/>
        <v>4</v>
      </c>
      <c r="AC126">
        <f>AB126/1000*一般構造素材物性!$I$37</f>
        <v>7.4999999999999997E-3</v>
      </c>
      <c r="AD126">
        <f>AA126/1000*0.001*一般構造素材物性!$H$19</f>
        <v>1.4400000000000001E-2</v>
      </c>
      <c r="AF126">
        <f t="shared" si="5"/>
        <v>2.5623000000000005</v>
      </c>
    </row>
    <row r="127" spans="17:32">
      <c r="Q127">
        <v>118</v>
      </c>
      <c r="R127">
        <v>-20</v>
      </c>
      <c r="S127">
        <v>20</v>
      </c>
      <c r="T127">
        <v>20</v>
      </c>
      <c r="U127">
        <v>20</v>
      </c>
      <c r="V127">
        <v>20</v>
      </c>
      <c r="W127">
        <v>-20</v>
      </c>
      <c r="X127">
        <v>-20</v>
      </c>
      <c r="Y127">
        <v>-20</v>
      </c>
      <c r="AA127">
        <f t="shared" si="3"/>
        <v>160</v>
      </c>
      <c r="AB127">
        <f t="shared" si="4"/>
        <v>4</v>
      </c>
      <c r="AC127">
        <f>AB127/1000*一般構造素材物性!$I$37</f>
        <v>7.4999999999999997E-3</v>
      </c>
      <c r="AD127">
        <f>AA127/1000*0.001*一般構造素材物性!$H$19</f>
        <v>1.4400000000000001E-2</v>
      </c>
      <c r="AF127">
        <f t="shared" si="5"/>
        <v>2.5842000000000005</v>
      </c>
    </row>
    <row r="128" spans="17:32">
      <c r="Q128">
        <v>119</v>
      </c>
      <c r="R128">
        <v>-20</v>
      </c>
      <c r="S128">
        <v>20</v>
      </c>
      <c r="T128">
        <v>20</v>
      </c>
      <c r="U128">
        <v>20</v>
      </c>
      <c r="V128">
        <v>20</v>
      </c>
      <c r="W128">
        <v>-20</v>
      </c>
      <c r="X128">
        <v>-20</v>
      </c>
      <c r="Y128">
        <v>-20</v>
      </c>
      <c r="AA128">
        <f t="shared" si="3"/>
        <v>160</v>
      </c>
      <c r="AB128">
        <f t="shared" si="4"/>
        <v>4</v>
      </c>
      <c r="AC128">
        <f>AB128/1000*一般構造素材物性!$I$37</f>
        <v>7.4999999999999997E-3</v>
      </c>
      <c r="AD128">
        <f>AA128/1000*0.001*一般構造素材物性!$H$19</f>
        <v>1.4400000000000001E-2</v>
      </c>
      <c r="AF128">
        <f t="shared" si="5"/>
        <v>2.6061000000000005</v>
      </c>
    </row>
    <row r="129" spans="17:32">
      <c r="Q129">
        <v>120</v>
      </c>
      <c r="R129">
        <v>-20</v>
      </c>
      <c r="S129">
        <v>20</v>
      </c>
      <c r="T129">
        <v>20</v>
      </c>
      <c r="U129">
        <v>20</v>
      </c>
      <c r="V129">
        <v>20</v>
      </c>
      <c r="W129">
        <v>-20</v>
      </c>
      <c r="X129">
        <v>-20</v>
      </c>
      <c r="Y129">
        <v>-20</v>
      </c>
      <c r="AA129">
        <f t="shared" si="3"/>
        <v>160</v>
      </c>
      <c r="AB129">
        <f t="shared" si="4"/>
        <v>4</v>
      </c>
      <c r="AC129">
        <f>AB129/1000*一般構造素材物性!$I$37</f>
        <v>7.4999999999999997E-3</v>
      </c>
      <c r="AD129">
        <f>AA129/1000*0.001*一般構造素材物性!$H$19</f>
        <v>1.4400000000000001E-2</v>
      </c>
      <c r="AF129">
        <f t="shared" si="5"/>
        <v>2.6280000000000001</v>
      </c>
    </row>
    <row r="130" spans="17:32">
      <c r="Q130">
        <v>121</v>
      </c>
      <c r="R130">
        <v>-20</v>
      </c>
      <c r="S130">
        <v>20</v>
      </c>
      <c r="T130">
        <v>20</v>
      </c>
      <c r="U130">
        <v>20</v>
      </c>
      <c r="V130">
        <v>20</v>
      </c>
      <c r="W130">
        <v>-20</v>
      </c>
      <c r="X130">
        <v>-20</v>
      </c>
      <c r="Y130">
        <v>-20</v>
      </c>
      <c r="AA130">
        <f t="shared" si="3"/>
        <v>160</v>
      </c>
      <c r="AB130">
        <f t="shared" si="4"/>
        <v>4</v>
      </c>
      <c r="AC130">
        <f>AB130/1000*一般構造素材物性!$I$37</f>
        <v>7.4999999999999997E-3</v>
      </c>
      <c r="AD130">
        <f>AA130/1000*0.001*一般構造素材物性!$H$19</f>
        <v>1.4400000000000001E-2</v>
      </c>
      <c r="AF130">
        <f t="shared" si="5"/>
        <v>2.6499000000000001</v>
      </c>
    </row>
    <row r="131" spans="17:32">
      <c r="Q131">
        <v>122</v>
      </c>
      <c r="R131">
        <v>-20</v>
      </c>
      <c r="S131">
        <v>20</v>
      </c>
      <c r="T131">
        <v>20</v>
      </c>
      <c r="U131">
        <v>20</v>
      </c>
      <c r="V131">
        <v>20</v>
      </c>
      <c r="W131">
        <v>-20</v>
      </c>
      <c r="X131">
        <v>-20</v>
      </c>
      <c r="Y131">
        <v>-20</v>
      </c>
      <c r="AA131">
        <f t="shared" si="3"/>
        <v>160</v>
      </c>
      <c r="AB131">
        <f t="shared" si="4"/>
        <v>4</v>
      </c>
      <c r="AC131">
        <f>AB131/1000*一般構造素材物性!$I$37</f>
        <v>7.4999999999999997E-3</v>
      </c>
      <c r="AD131">
        <f>AA131/1000*0.001*一般構造素材物性!$H$19</f>
        <v>1.4400000000000001E-2</v>
      </c>
      <c r="AF131">
        <f t="shared" si="5"/>
        <v>2.6718000000000002</v>
      </c>
    </row>
    <row r="132" spans="17:32">
      <c r="Q132">
        <v>123</v>
      </c>
      <c r="R132">
        <v>-20</v>
      </c>
      <c r="S132">
        <v>20</v>
      </c>
      <c r="T132">
        <v>20</v>
      </c>
      <c r="U132">
        <v>20</v>
      </c>
      <c r="V132">
        <v>20</v>
      </c>
      <c r="W132">
        <v>-20</v>
      </c>
      <c r="X132">
        <v>-20</v>
      </c>
      <c r="Y132">
        <v>-20</v>
      </c>
      <c r="AA132">
        <f t="shared" si="3"/>
        <v>160</v>
      </c>
      <c r="AB132">
        <f t="shared" si="4"/>
        <v>4</v>
      </c>
      <c r="AC132">
        <f>AB132/1000*一般構造素材物性!$I$37</f>
        <v>7.4999999999999997E-3</v>
      </c>
      <c r="AD132">
        <f>AA132/1000*0.001*一般構造素材物性!$H$19</f>
        <v>1.4400000000000001E-2</v>
      </c>
      <c r="AF132">
        <f t="shared" si="5"/>
        <v>2.6937000000000002</v>
      </c>
    </row>
    <row r="133" spans="17:32">
      <c r="Q133">
        <v>124</v>
      </c>
      <c r="R133">
        <v>-20</v>
      </c>
      <c r="S133">
        <v>20</v>
      </c>
      <c r="T133">
        <v>20</v>
      </c>
      <c r="U133">
        <v>20</v>
      </c>
      <c r="V133">
        <v>20</v>
      </c>
      <c r="W133">
        <v>-20</v>
      </c>
      <c r="X133">
        <v>-20</v>
      </c>
      <c r="Y133">
        <v>-20</v>
      </c>
      <c r="AA133">
        <f t="shared" si="3"/>
        <v>160</v>
      </c>
      <c r="AB133">
        <f t="shared" si="4"/>
        <v>4</v>
      </c>
      <c r="AC133">
        <f>AB133/1000*一般構造素材物性!$I$37</f>
        <v>7.4999999999999997E-3</v>
      </c>
      <c r="AD133">
        <f>AA133/1000*0.001*一般構造素材物性!$H$19</f>
        <v>1.4400000000000001E-2</v>
      </c>
      <c r="AF133">
        <f t="shared" si="5"/>
        <v>2.7156000000000002</v>
      </c>
    </row>
    <row r="134" spans="17:32">
      <c r="Q134">
        <v>125</v>
      </c>
      <c r="R134">
        <v>-20</v>
      </c>
      <c r="S134">
        <v>20</v>
      </c>
      <c r="T134">
        <v>20</v>
      </c>
      <c r="U134">
        <v>20</v>
      </c>
      <c r="V134">
        <v>20</v>
      </c>
      <c r="W134">
        <v>-20</v>
      </c>
      <c r="X134">
        <v>-20</v>
      </c>
      <c r="Y134">
        <v>-20</v>
      </c>
      <c r="AA134">
        <f t="shared" si="3"/>
        <v>160</v>
      </c>
      <c r="AB134">
        <f t="shared" si="4"/>
        <v>4</v>
      </c>
      <c r="AC134">
        <f>AB134/1000*一般構造素材物性!$I$37</f>
        <v>7.4999999999999997E-3</v>
      </c>
      <c r="AD134">
        <f>AA134/1000*0.001*一般構造素材物性!$H$19</f>
        <v>1.4400000000000001E-2</v>
      </c>
      <c r="AF134">
        <f t="shared" si="5"/>
        <v>2.7375000000000003</v>
      </c>
    </row>
    <row r="135" spans="17:32">
      <c r="Q135">
        <v>126</v>
      </c>
      <c r="R135">
        <v>-20</v>
      </c>
      <c r="S135">
        <v>20</v>
      </c>
      <c r="T135">
        <v>20</v>
      </c>
      <c r="U135">
        <v>20</v>
      </c>
      <c r="V135">
        <v>20</v>
      </c>
      <c r="W135">
        <v>-20</v>
      </c>
      <c r="X135">
        <v>-20</v>
      </c>
      <c r="Y135">
        <v>-20</v>
      </c>
      <c r="AA135">
        <f t="shared" si="3"/>
        <v>160</v>
      </c>
      <c r="AB135">
        <f t="shared" si="4"/>
        <v>4</v>
      </c>
      <c r="AC135">
        <f>AB135/1000*一般構造素材物性!$I$37</f>
        <v>7.4999999999999997E-3</v>
      </c>
      <c r="AD135">
        <f>AA135/1000*0.001*一般構造素材物性!$H$19</f>
        <v>1.4400000000000001E-2</v>
      </c>
      <c r="AF135">
        <f t="shared" si="5"/>
        <v>2.7594000000000003</v>
      </c>
    </row>
    <row r="136" spans="17:32">
      <c r="Q136">
        <v>127</v>
      </c>
      <c r="R136">
        <v>-20</v>
      </c>
      <c r="S136">
        <v>20</v>
      </c>
      <c r="T136">
        <v>20</v>
      </c>
      <c r="U136">
        <v>20</v>
      </c>
      <c r="V136">
        <v>20</v>
      </c>
      <c r="W136">
        <v>-20</v>
      </c>
      <c r="X136">
        <v>-20</v>
      </c>
      <c r="Y136">
        <v>-20</v>
      </c>
      <c r="AA136">
        <f t="shared" si="3"/>
        <v>160</v>
      </c>
      <c r="AB136">
        <f t="shared" si="4"/>
        <v>4</v>
      </c>
      <c r="AC136">
        <f>AB136/1000*一般構造素材物性!$I$37</f>
        <v>7.4999999999999997E-3</v>
      </c>
      <c r="AD136">
        <f>AA136/1000*0.001*一般構造素材物性!$H$19</f>
        <v>1.4400000000000001E-2</v>
      </c>
      <c r="AF136">
        <f t="shared" si="5"/>
        <v>2.7813000000000003</v>
      </c>
    </row>
    <row r="137" spans="17:32">
      <c r="Q137">
        <v>128</v>
      </c>
      <c r="R137">
        <v>-20</v>
      </c>
      <c r="S137">
        <v>20</v>
      </c>
      <c r="T137">
        <v>20</v>
      </c>
      <c r="U137">
        <v>20</v>
      </c>
      <c r="V137">
        <v>20</v>
      </c>
      <c r="W137">
        <v>-20</v>
      </c>
      <c r="X137">
        <v>-20</v>
      </c>
      <c r="Y137">
        <v>-20</v>
      </c>
      <c r="AA137">
        <f t="shared" si="3"/>
        <v>160</v>
      </c>
      <c r="AB137">
        <f t="shared" si="4"/>
        <v>4</v>
      </c>
      <c r="AC137">
        <f>AB137/1000*一般構造素材物性!$I$37</f>
        <v>7.4999999999999997E-3</v>
      </c>
      <c r="AD137">
        <f>AA137/1000*0.001*一般構造素材物性!$H$19</f>
        <v>1.4400000000000001E-2</v>
      </c>
      <c r="AF137">
        <f t="shared" si="5"/>
        <v>2.8032000000000004</v>
      </c>
    </row>
    <row r="138" spans="17:32">
      <c r="Q138">
        <v>129</v>
      </c>
      <c r="R138">
        <v>-20</v>
      </c>
      <c r="S138">
        <v>20</v>
      </c>
      <c r="T138">
        <v>20</v>
      </c>
      <c r="U138">
        <v>20</v>
      </c>
      <c r="V138">
        <v>20</v>
      </c>
      <c r="W138">
        <v>-20</v>
      </c>
      <c r="X138">
        <v>-20</v>
      </c>
      <c r="Y138">
        <v>-20</v>
      </c>
      <c r="AA138">
        <f t="shared" ref="AA138:AA201" si="6">SQRT((T138-R138)^2+(U138-S138)^2)+SQRT((V138-T138)^2+(W138-U138)^2)+SQRT((X138-V138)^2+(Y138-W138)^2)+SQRT((R138-X138)^2+(S138-Y138)^2)</f>
        <v>160</v>
      </c>
      <c r="AB138">
        <f t="shared" ref="AB138:AB201" si="7">SQRT((R139-R138)^2+(S139-S138)^2+1^2)+SQRT((T139-T138)^2+(U139-U138)^2+1^2)+SQRT((V139-V138)^2+(W139-W138)^2+1^2)+SQRT((X139-X138)^2+(Y139-Y138)^2+1^2)</f>
        <v>4</v>
      </c>
      <c r="AC138">
        <f>AB138/1000*一般構造素材物性!$I$37</f>
        <v>7.4999999999999997E-3</v>
      </c>
      <c r="AD138">
        <f>AA138/1000*0.001*一般構造素材物性!$H$19</f>
        <v>1.4400000000000001E-2</v>
      </c>
      <c r="AF138">
        <f t="shared" ref="AF138:AF201" si="8">(AC138+AD138)*(Q138-$Q$9)</f>
        <v>2.8251000000000004</v>
      </c>
    </row>
    <row r="139" spans="17:32">
      <c r="Q139">
        <v>130</v>
      </c>
      <c r="R139">
        <v>-20</v>
      </c>
      <c r="S139">
        <v>20</v>
      </c>
      <c r="T139">
        <v>20</v>
      </c>
      <c r="U139">
        <v>20</v>
      </c>
      <c r="V139">
        <v>20</v>
      </c>
      <c r="W139">
        <v>-20</v>
      </c>
      <c r="X139">
        <v>-20</v>
      </c>
      <c r="Y139">
        <v>-20</v>
      </c>
      <c r="AA139">
        <f t="shared" si="6"/>
        <v>160</v>
      </c>
      <c r="AB139">
        <f t="shared" si="7"/>
        <v>4</v>
      </c>
      <c r="AC139">
        <f>AB139/1000*一般構造素材物性!$I$37</f>
        <v>7.4999999999999997E-3</v>
      </c>
      <c r="AD139">
        <f>AA139/1000*0.001*一般構造素材物性!$H$19</f>
        <v>1.4400000000000001E-2</v>
      </c>
      <c r="AF139">
        <f t="shared" si="8"/>
        <v>2.8470000000000004</v>
      </c>
    </row>
    <row r="140" spans="17:32">
      <c r="Q140">
        <v>131</v>
      </c>
      <c r="R140">
        <v>-20</v>
      </c>
      <c r="S140">
        <v>20</v>
      </c>
      <c r="T140">
        <v>20</v>
      </c>
      <c r="U140">
        <v>20</v>
      </c>
      <c r="V140">
        <v>20</v>
      </c>
      <c r="W140">
        <v>-20</v>
      </c>
      <c r="X140">
        <v>-20</v>
      </c>
      <c r="Y140">
        <v>-20</v>
      </c>
      <c r="AA140">
        <f t="shared" si="6"/>
        <v>160</v>
      </c>
      <c r="AB140">
        <f t="shared" si="7"/>
        <v>4</v>
      </c>
      <c r="AC140">
        <f>AB140/1000*一般構造素材物性!$I$37</f>
        <v>7.4999999999999997E-3</v>
      </c>
      <c r="AD140">
        <f>AA140/1000*0.001*一般構造素材物性!$H$19</f>
        <v>1.4400000000000001E-2</v>
      </c>
      <c r="AF140">
        <f t="shared" si="8"/>
        <v>2.8689000000000004</v>
      </c>
    </row>
    <row r="141" spans="17:32">
      <c r="Q141">
        <v>132</v>
      </c>
      <c r="R141">
        <v>-20</v>
      </c>
      <c r="S141">
        <v>20</v>
      </c>
      <c r="T141">
        <v>20</v>
      </c>
      <c r="U141">
        <v>20</v>
      </c>
      <c r="V141">
        <v>20</v>
      </c>
      <c r="W141">
        <v>-20</v>
      </c>
      <c r="X141">
        <v>-20</v>
      </c>
      <c r="Y141">
        <v>-20</v>
      </c>
      <c r="AA141">
        <f t="shared" si="6"/>
        <v>160</v>
      </c>
      <c r="AB141">
        <f t="shared" si="7"/>
        <v>4</v>
      </c>
      <c r="AC141">
        <f>AB141/1000*一般構造素材物性!$I$37</f>
        <v>7.4999999999999997E-3</v>
      </c>
      <c r="AD141">
        <f>AA141/1000*0.001*一般構造素材物性!$H$19</f>
        <v>1.4400000000000001E-2</v>
      </c>
      <c r="AF141">
        <f t="shared" si="8"/>
        <v>2.8908000000000005</v>
      </c>
    </row>
    <row r="142" spans="17:32">
      <c r="Q142">
        <v>133</v>
      </c>
      <c r="R142">
        <v>-20</v>
      </c>
      <c r="S142">
        <v>20</v>
      </c>
      <c r="T142">
        <v>20</v>
      </c>
      <c r="U142">
        <v>20</v>
      </c>
      <c r="V142">
        <v>20</v>
      </c>
      <c r="W142">
        <v>-20</v>
      </c>
      <c r="X142">
        <v>-20</v>
      </c>
      <c r="Y142">
        <v>-20</v>
      </c>
      <c r="AA142">
        <f t="shared" si="6"/>
        <v>160</v>
      </c>
      <c r="AB142">
        <f t="shared" si="7"/>
        <v>4</v>
      </c>
      <c r="AC142">
        <f>AB142/1000*一般構造素材物性!$I$37</f>
        <v>7.4999999999999997E-3</v>
      </c>
      <c r="AD142">
        <f>AA142/1000*0.001*一般構造素材物性!$H$19</f>
        <v>1.4400000000000001E-2</v>
      </c>
      <c r="AF142">
        <f t="shared" si="8"/>
        <v>2.9127000000000005</v>
      </c>
    </row>
    <row r="143" spans="17:32">
      <c r="Q143">
        <v>134</v>
      </c>
      <c r="R143">
        <v>-20</v>
      </c>
      <c r="S143">
        <v>20</v>
      </c>
      <c r="T143">
        <v>20</v>
      </c>
      <c r="U143">
        <v>20</v>
      </c>
      <c r="V143">
        <v>20</v>
      </c>
      <c r="W143">
        <v>-20</v>
      </c>
      <c r="X143">
        <v>-20</v>
      </c>
      <c r="Y143">
        <v>-20</v>
      </c>
      <c r="AA143">
        <f t="shared" si="6"/>
        <v>160</v>
      </c>
      <c r="AB143">
        <f t="shared" si="7"/>
        <v>4</v>
      </c>
      <c r="AC143">
        <f>AB143/1000*一般構造素材物性!$I$37</f>
        <v>7.4999999999999997E-3</v>
      </c>
      <c r="AD143">
        <f>AA143/1000*0.001*一般構造素材物性!$H$19</f>
        <v>1.4400000000000001E-2</v>
      </c>
      <c r="AF143">
        <f t="shared" si="8"/>
        <v>2.9346000000000005</v>
      </c>
    </row>
    <row r="144" spans="17:32">
      <c r="Q144">
        <v>135</v>
      </c>
      <c r="R144">
        <v>-20</v>
      </c>
      <c r="S144">
        <v>20</v>
      </c>
      <c r="T144">
        <v>20</v>
      </c>
      <c r="U144">
        <v>20</v>
      </c>
      <c r="V144">
        <v>20</v>
      </c>
      <c r="W144">
        <v>-20</v>
      </c>
      <c r="X144">
        <v>-20</v>
      </c>
      <c r="Y144">
        <v>-20</v>
      </c>
      <c r="AA144">
        <f t="shared" si="6"/>
        <v>160</v>
      </c>
      <c r="AB144">
        <f t="shared" si="7"/>
        <v>4</v>
      </c>
      <c r="AC144">
        <f>AB144/1000*一般構造素材物性!$I$37</f>
        <v>7.4999999999999997E-3</v>
      </c>
      <c r="AD144">
        <f>AA144/1000*0.001*一般構造素材物性!$H$19</f>
        <v>1.4400000000000001E-2</v>
      </c>
      <c r="AF144">
        <f t="shared" si="8"/>
        <v>2.9565000000000006</v>
      </c>
    </row>
    <row r="145" spans="17:32">
      <c r="Q145">
        <v>136</v>
      </c>
      <c r="R145">
        <v>-20</v>
      </c>
      <c r="S145">
        <v>20</v>
      </c>
      <c r="T145">
        <v>20</v>
      </c>
      <c r="U145">
        <v>20</v>
      </c>
      <c r="V145">
        <v>20</v>
      </c>
      <c r="W145">
        <v>-20</v>
      </c>
      <c r="X145">
        <v>-20</v>
      </c>
      <c r="Y145">
        <v>-20</v>
      </c>
      <c r="AA145">
        <f t="shared" si="6"/>
        <v>160</v>
      </c>
      <c r="AB145">
        <f t="shared" si="7"/>
        <v>4</v>
      </c>
      <c r="AC145">
        <f>AB145/1000*一般構造素材物性!$I$37</f>
        <v>7.4999999999999997E-3</v>
      </c>
      <c r="AD145">
        <f>AA145/1000*0.001*一般構造素材物性!$H$19</f>
        <v>1.4400000000000001E-2</v>
      </c>
      <c r="AF145">
        <f t="shared" si="8"/>
        <v>2.9784000000000006</v>
      </c>
    </row>
    <row r="146" spans="17:32">
      <c r="Q146">
        <v>137</v>
      </c>
      <c r="R146">
        <v>-20</v>
      </c>
      <c r="S146">
        <v>20</v>
      </c>
      <c r="T146">
        <v>20</v>
      </c>
      <c r="U146">
        <v>20</v>
      </c>
      <c r="V146">
        <v>20</v>
      </c>
      <c r="W146">
        <v>-20</v>
      </c>
      <c r="X146">
        <v>-20</v>
      </c>
      <c r="Y146">
        <v>-20</v>
      </c>
      <c r="AA146">
        <f t="shared" si="6"/>
        <v>160</v>
      </c>
      <c r="AB146">
        <f t="shared" si="7"/>
        <v>4</v>
      </c>
      <c r="AC146">
        <f>AB146/1000*一般構造素材物性!$I$37</f>
        <v>7.4999999999999997E-3</v>
      </c>
      <c r="AD146">
        <f>AA146/1000*0.001*一般構造素材物性!$H$19</f>
        <v>1.4400000000000001E-2</v>
      </c>
      <c r="AF146">
        <f t="shared" si="8"/>
        <v>3.0003000000000002</v>
      </c>
    </row>
    <row r="147" spans="17:32">
      <c r="Q147">
        <v>138</v>
      </c>
      <c r="R147">
        <v>-20</v>
      </c>
      <c r="S147">
        <v>20</v>
      </c>
      <c r="T147">
        <v>20</v>
      </c>
      <c r="U147">
        <v>20</v>
      </c>
      <c r="V147">
        <v>20</v>
      </c>
      <c r="W147">
        <v>-20</v>
      </c>
      <c r="X147">
        <v>-20</v>
      </c>
      <c r="Y147">
        <v>-20</v>
      </c>
      <c r="AA147">
        <f t="shared" si="6"/>
        <v>160</v>
      </c>
      <c r="AB147">
        <f t="shared" si="7"/>
        <v>4</v>
      </c>
      <c r="AC147">
        <f>AB147/1000*一般構造素材物性!$I$37</f>
        <v>7.4999999999999997E-3</v>
      </c>
      <c r="AD147">
        <f>AA147/1000*0.001*一般構造素材物性!$H$19</f>
        <v>1.4400000000000001E-2</v>
      </c>
      <c r="AF147">
        <f t="shared" si="8"/>
        <v>3.0222000000000002</v>
      </c>
    </row>
    <row r="148" spans="17:32">
      <c r="Q148">
        <v>139</v>
      </c>
      <c r="R148">
        <v>-20</v>
      </c>
      <c r="S148">
        <v>20</v>
      </c>
      <c r="T148">
        <v>20</v>
      </c>
      <c r="U148">
        <v>20</v>
      </c>
      <c r="V148">
        <v>20</v>
      </c>
      <c r="W148">
        <v>-20</v>
      </c>
      <c r="X148">
        <v>-20</v>
      </c>
      <c r="Y148">
        <v>-20</v>
      </c>
      <c r="AA148">
        <f t="shared" si="6"/>
        <v>160</v>
      </c>
      <c r="AB148">
        <f t="shared" si="7"/>
        <v>4</v>
      </c>
      <c r="AC148">
        <f>AB148/1000*一般構造素材物性!$I$37</f>
        <v>7.4999999999999997E-3</v>
      </c>
      <c r="AD148">
        <f>AA148/1000*0.001*一般構造素材物性!$H$19</f>
        <v>1.4400000000000001E-2</v>
      </c>
      <c r="AF148">
        <f t="shared" si="8"/>
        <v>3.0441000000000003</v>
      </c>
    </row>
    <row r="149" spans="17:32">
      <c r="Q149">
        <v>140</v>
      </c>
      <c r="R149">
        <v>-20</v>
      </c>
      <c r="S149">
        <v>20</v>
      </c>
      <c r="T149">
        <v>20</v>
      </c>
      <c r="U149">
        <v>20</v>
      </c>
      <c r="V149">
        <v>20</v>
      </c>
      <c r="W149">
        <v>-20</v>
      </c>
      <c r="X149">
        <v>-20</v>
      </c>
      <c r="Y149">
        <v>-20</v>
      </c>
      <c r="AA149">
        <f t="shared" si="6"/>
        <v>160</v>
      </c>
      <c r="AB149">
        <f t="shared" si="7"/>
        <v>4</v>
      </c>
      <c r="AC149">
        <f>AB149/1000*一般構造素材物性!$I$37</f>
        <v>7.4999999999999997E-3</v>
      </c>
      <c r="AD149">
        <f>AA149/1000*0.001*一般構造素材物性!$H$19</f>
        <v>1.4400000000000001E-2</v>
      </c>
      <c r="AF149">
        <f t="shared" si="8"/>
        <v>3.0660000000000003</v>
      </c>
    </row>
    <row r="150" spans="17:32">
      <c r="Q150">
        <v>141</v>
      </c>
      <c r="R150">
        <v>-20</v>
      </c>
      <c r="S150">
        <v>20</v>
      </c>
      <c r="T150">
        <v>20</v>
      </c>
      <c r="U150">
        <v>20</v>
      </c>
      <c r="V150">
        <v>20</v>
      </c>
      <c r="W150">
        <v>-20</v>
      </c>
      <c r="X150">
        <v>-20</v>
      </c>
      <c r="Y150">
        <v>-20</v>
      </c>
      <c r="AA150">
        <f t="shared" si="6"/>
        <v>160</v>
      </c>
      <c r="AB150">
        <f t="shared" si="7"/>
        <v>4</v>
      </c>
      <c r="AC150">
        <f>AB150/1000*一般構造素材物性!$I$37</f>
        <v>7.4999999999999997E-3</v>
      </c>
      <c r="AD150">
        <f>AA150/1000*0.001*一般構造素材物性!$H$19</f>
        <v>1.4400000000000001E-2</v>
      </c>
      <c r="AF150">
        <f t="shared" si="8"/>
        <v>3.0879000000000003</v>
      </c>
    </row>
    <row r="151" spans="17:32">
      <c r="Q151">
        <v>142</v>
      </c>
      <c r="R151">
        <v>-20</v>
      </c>
      <c r="S151">
        <v>20</v>
      </c>
      <c r="T151">
        <v>20</v>
      </c>
      <c r="U151">
        <v>20</v>
      </c>
      <c r="V151">
        <v>20</v>
      </c>
      <c r="W151">
        <v>-20</v>
      </c>
      <c r="X151">
        <v>-20</v>
      </c>
      <c r="Y151">
        <v>-20</v>
      </c>
      <c r="AA151">
        <f t="shared" si="6"/>
        <v>160</v>
      </c>
      <c r="AB151">
        <f t="shared" si="7"/>
        <v>4</v>
      </c>
      <c r="AC151">
        <f>AB151/1000*一般構造素材物性!$I$37</f>
        <v>7.4999999999999997E-3</v>
      </c>
      <c r="AD151">
        <f>AA151/1000*0.001*一般構造素材物性!$H$19</f>
        <v>1.4400000000000001E-2</v>
      </c>
      <c r="AF151">
        <f t="shared" si="8"/>
        <v>3.1098000000000003</v>
      </c>
    </row>
    <row r="152" spans="17:32">
      <c r="Q152">
        <v>143</v>
      </c>
      <c r="R152">
        <v>-20</v>
      </c>
      <c r="S152">
        <v>20</v>
      </c>
      <c r="T152">
        <v>20</v>
      </c>
      <c r="U152">
        <v>20</v>
      </c>
      <c r="V152">
        <v>20</v>
      </c>
      <c r="W152">
        <v>-20</v>
      </c>
      <c r="X152">
        <v>-20</v>
      </c>
      <c r="Y152">
        <v>-20</v>
      </c>
      <c r="AA152">
        <f t="shared" si="6"/>
        <v>160</v>
      </c>
      <c r="AB152">
        <f t="shared" si="7"/>
        <v>4</v>
      </c>
      <c r="AC152">
        <f>AB152/1000*一般構造素材物性!$I$37</f>
        <v>7.4999999999999997E-3</v>
      </c>
      <c r="AD152">
        <f>AA152/1000*0.001*一般構造素材物性!$H$19</f>
        <v>1.4400000000000001E-2</v>
      </c>
      <c r="AF152">
        <f t="shared" si="8"/>
        <v>3.1317000000000004</v>
      </c>
    </row>
    <row r="153" spans="17:32">
      <c r="Q153">
        <v>144</v>
      </c>
      <c r="R153">
        <v>-20</v>
      </c>
      <c r="S153">
        <v>20</v>
      </c>
      <c r="T153">
        <v>20</v>
      </c>
      <c r="U153">
        <v>20</v>
      </c>
      <c r="V153">
        <v>20</v>
      </c>
      <c r="W153">
        <v>-20</v>
      </c>
      <c r="X153">
        <v>-20</v>
      </c>
      <c r="Y153">
        <v>-20</v>
      </c>
      <c r="AA153">
        <f t="shared" si="6"/>
        <v>160</v>
      </c>
      <c r="AB153">
        <f t="shared" si="7"/>
        <v>4</v>
      </c>
      <c r="AC153">
        <f>AB153/1000*一般構造素材物性!$I$37</f>
        <v>7.4999999999999997E-3</v>
      </c>
      <c r="AD153">
        <f>AA153/1000*0.001*一般構造素材物性!$H$19</f>
        <v>1.4400000000000001E-2</v>
      </c>
      <c r="AF153">
        <f t="shared" si="8"/>
        <v>3.1536000000000004</v>
      </c>
    </row>
    <row r="154" spans="17:32">
      <c r="Q154">
        <v>145</v>
      </c>
      <c r="R154">
        <v>-20</v>
      </c>
      <c r="S154">
        <v>20</v>
      </c>
      <c r="T154">
        <v>20</v>
      </c>
      <c r="U154">
        <v>20</v>
      </c>
      <c r="V154">
        <v>20</v>
      </c>
      <c r="W154">
        <v>-20</v>
      </c>
      <c r="X154">
        <v>-20</v>
      </c>
      <c r="Y154">
        <v>-20</v>
      </c>
      <c r="AA154">
        <f t="shared" si="6"/>
        <v>160</v>
      </c>
      <c r="AB154">
        <f t="shared" si="7"/>
        <v>4</v>
      </c>
      <c r="AC154">
        <f>AB154/1000*一般構造素材物性!$I$37</f>
        <v>7.4999999999999997E-3</v>
      </c>
      <c r="AD154">
        <f>AA154/1000*0.001*一般構造素材物性!$H$19</f>
        <v>1.4400000000000001E-2</v>
      </c>
      <c r="AF154">
        <f t="shared" si="8"/>
        <v>3.1755000000000004</v>
      </c>
    </row>
    <row r="155" spans="17:32">
      <c r="Q155">
        <v>146</v>
      </c>
      <c r="R155">
        <v>-20</v>
      </c>
      <c r="S155">
        <v>20</v>
      </c>
      <c r="T155">
        <v>20</v>
      </c>
      <c r="U155">
        <v>20</v>
      </c>
      <c r="V155">
        <v>20</v>
      </c>
      <c r="W155">
        <v>-20</v>
      </c>
      <c r="X155">
        <v>-20</v>
      </c>
      <c r="Y155">
        <v>-20</v>
      </c>
      <c r="AA155">
        <f t="shared" si="6"/>
        <v>160</v>
      </c>
      <c r="AB155">
        <f t="shared" si="7"/>
        <v>4</v>
      </c>
      <c r="AC155">
        <f>AB155/1000*一般構造素材物性!$I$37</f>
        <v>7.4999999999999997E-3</v>
      </c>
      <c r="AD155">
        <f>AA155/1000*0.001*一般構造素材物性!$H$19</f>
        <v>1.4400000000000001E-2</v>
      </c>
      <c r="AF155">
        <f t="shared" si="8"/>
        <v>3.1974000000000005</v>
      </c>
    </row>
    <row r="156" spans="17:32">
      <c r="Q156">
        <v>147</v>
      </c>
      <c r="R156">
        <v>-20</v>
      </c>
      <c r="S156">
        <v>20</v>
      </c>
      <c r="T156">
        <v>20</v>
      </c>
      <c r="U156">
        <v>20</v>
      </c>
      <c r="V156">
        <v>20</v>
      </c>
      <c r="W156">
        <v>-20</v>
      </c>
      <c r="X156">
        <v>-20</v>
      </c>
      <c r="Y156">
        <v>-20</v>
      </c>
      <c r="AA156">
        <f t="shared" si="6"/>
        <v>160</v>
      </c>
      <c r="AB156">
        <f t="shared" si="7"/>
        <v>4</v>
      </c>
      <c r="AC156">
        <f>AB156/1000*一般構造素材物性!$I$37</f>
        <v>7.4999999999999997E-3</v>
      </c>
      <c r="AD156">
        <f>AA156/1000*0.001*一般構造素材物性!$H$19</f>
        <v>1.4400000000000001E-2</v>
      </c>
      <c r="AF156">
        <f t="shared" si="8"/>
        <v>3.2193000000000005</v>
      </c>
    </row>
    <row r="157" spans="17:32">
      <c r="Q157">
        <v>148</v>
      </c>
      <c r="R157">
        <v>-20</v>
      </c>
      <c r="S157">
        <v>20</v>
      </c>
      <c r="T157">
        <v>20</v>
      </c>
      <c r="U157">
        <v>20</v>
      </c>
      <c r="V157">
        <v>20</v>
      </c>
      <c r="W157">
        <v>-20</v>
      </c>
      <c r="X157">
        <v>-20</v>
      </c>
      <c r="Y157">
        <v>-20</v>
      </c>
      <c r="AA157">
        <f t="shared" si="6"/>
        <v>160</v>
      </c>
      <c r="AB157">
        <f t="shared" si="7"/>
        <v>4</v>
      </c>
      <c r="AC157">
        <f>AB157/1000*一般構造素材物性!$I$37</f>
        <v>7.4999999999999997E-3</v>
      </c>
      <c r="AD157">
        <f>AA157/1000*0.001*一般構造素材物性!$H$19</f>
        <v>1.4400000000000001E-2</v>
      </c>
      <c r="AF157">
        <f t="shared" si="8"/>
        <v>3.2412000000000005</v>
      </c>
    </row>
    <row r="158" spans="17:32">
      <c r="Q158">
        <v>149</v>
      </c>
      <c r="R158">
        <v>-20</v>
      </c>
      <c r="S158">
        <v>20</v>
      </c>
      <c r="T158">
        <v>20</v>
      </c>
      <c r="U158">
        <v>20</v>
      </c>
      <c r="V158">
        <v>20</v>
      </c>
      <c r="W158">
        <v>-20</v>
      </c>
      <c r="X158">
        <v>-20</v>
      </c>
      <c r="Y158">
        <v>-20</v>
      </c>
      <c r="AA158">
        <f t="shared" si="6"/>
        <v>160</v>
      </c>
      <c r="AB158">
        <f t="shared" si="7"/>
        <v>4</v>
      </c>
      <c r="AC158">
        <f>AB158/1000*一般構造素材物性!$I$37</f>
        <v>7.4999999999999997E-3</v>
      </c>
      <c r="AD158">
        <f>AA158/1000*0.001*一般構造素材物性!$H$19</f>
        <v>1.4400000000000001E-2</v>
      </c>
      <c r="AF158">
        <f t="shared" si="8"/>
        <v>3.2631000000000006</v>
      </c>
    </row>
    <row r="159" spans="17:32">
      <c r="Q159">
        <v>150</v>
      </c>
      <c r="R159">
        <v>-20</v>
      </c>
      <c r="S159">
        <v>20</v>
      </c>
      <c r="T159">
        <v>20</v>
      </c>
      <c r="U159">
        <v>20</v>
      </c>
      <c r="V159">
        <v>20</v>
      </c>
      <c r="W159">
        <v>-20</v>
      </c>
      <c r="X159">
        <v>-20</v>
      </c>
      <c r="Y159">
        <v>-20</v>
      </c>
      <c r="AA159">
        <f t="shared" si="6"/>
        <v>160</v>
      </c>
      <c r="AB159">
        <f t="shared" si="7"/>
        <v>4</v>
      </c>
      <c r="AC159">
        <f>AB159/1000*一般構造素材物性!$I$37</f>
        <v>7.4999999999999997E-3</v>
      </c>
      <c r="AD159">
        <f>AA159/1000*0.001*一般構造素材物性!$H$19</f>
        <v>1.4400000000000001E-2</v>
      </c>
      <c r="AF159">
        <f t="shared" si="8"/>
        <v>3.2850000000000006</v>
      </c>
    </row>
    <row r="160" spans="17:32">
      <c r="Q160">
        <v>151</v>
      </c>
      <c r="R160">
        <v>-20</v>
      </c>
      <c r="S160">
        <v>20</v>
      </c>
      <c r="T160">
        <v>20</v>
      </c>
      <c r="U160">
        <v>20</v>
      </c>
      <c r="V160">
        <v>20</v>
      </c>
      <c r="W160">
        <v>-20</v>
      </c>
      <c r="X160">
        <v>-20</v>
      </c>
      <c r="Y160">
        <v>-20</v>
      </c>
      <c r="AA160">
        <f t="shared" si="6"/>
        <v>160</v>
      </c>
      <c r="AB160">
        <f t="shared" si="7"/>
        <v>4</v>
      </c>
      <c r="AC160">
        <f>AB160/1000*一般構造素材物性!$I$37</f>
        <v>7.4999999999999997E-3</v>
      </c>
      <c r="AD160">
        <f>AA160/1000*0.001*一般構造素材物性!$H$19</f>
        <v>1.4400000000000001E-2</v>
      </c>
      <c r="AF160">
        <f t="shared" si="8"/>
        <v>3.3069000000000006</v>
      </c>
    </row>
    <row r="161" spans="17:32">
      <c r="Q161">
        <v>152</v>
      </c>
      <c r="R161">
        <v>-20</v>
      </c>
      <c r="S161">
        <v>20</v>
      </c>
      <c r="T161">
        <v>20</v>
      </c>
      <c r="U161">
        <v>20</v>
      </c>
      <c r="V161">
        <v>20</v>
      </c>
      <c r="W161">
        <v>-20</v>
      </c>
      <c r="X161">
        <v>-20</v>
      </c>
      <c r="Y161">
        <v>-20</v>
      </c>
      <c r="AA161">
        <f t="shared" si="6"/>
        <v>160</v>
      </c>
      <c r="AB161">
        <f t="shared" si="7"/>
        <v>4</v>
      </c>
      <c r="AC161">
        <f>AB161/1000*一般構造素材物性!$I$37</f>
        <v>7.4999999999999997E-3</v>
      </c>
      <c r="AD161">
        <f>AA161/1000*0.001*一般構造素材物性!$H$19</f>
        <v>1.4400000000000001E-2</v>
      </c>
      <c r="AF161">
        <f t="shared" si="8"/>
        <v>3.3288000000000002</v>
      </c>
    </row>
    <row r="162" spans="17:32">
      <c r="Q162">
        <v>153</v>
      </c>
      <c r="R162">
        <v>-20</v>
      </c>
      <c r="S162">
        <v>20</v>
      </c>
      <c r="T162">
        <v>20</v>
      </c>
      <c r="U162">
        <v>20</v>
      </c>
      <c r="V162">
        <v>20</v>
      </c>
      <c r="W162">
        <v>-20</v>
      </c>
      <c r="X162">
        <v>-20</v>
      </c>
      <c r="Y162">
        <v>-20</v>
      </c>
      <c r="AA162">
        <f t="shared" si="6"/>
        <v>160</v>
      </c>
      <c r="AB162">
        <f t="shared" si="7"/>
        <v>4</v>
      </c>
      <c r="AC162">
        <f>AB162/1000*一般構造素材物性!$I$37</f>
        <v>7.4999999999999997E-3</v>
      </c>
      <c r="AD162">
        <f>AA162/1000*0.001*一般構造素材物性!$H$19</f>
        <v>1.4400000000000001E-2</v>
      </c>
      <c r="AF162">
        <f t="shared" si="8"/>
        <v>3.3507000000000002</v>
      </c>
    </row>
    <row r="163" spans="17:32">
      <c r="Q163">
        <v>154</v>
      </c>
      <c r="R163">
        <v>-20</v>
      </c>
      <c r="S163">
        <v>20</v>
      </c>
      <c r="T163">
        <v>20</v>
      </c>
      <c r="U163">
        <v>20</v>
      </c>
      <c r="V163">
        <v>20</v>
      </c>
      <c r="W163">
        <v>-20</v>
      </c>
      <c r="X163">
        <v>-20</v>
      </c>
      <c r="Y163">
        <v>-20</v>
      </c>
      <c r="AA163">
        <f t="shared" si="6"/>
        <v>160</v>
      </c>
      <c r="AB163">
        <f t="shared" si="7"/>
        <v>4</v>
      </c>
      <c r="AC163">
        <f>AB163/1000*一般構造素材物性!$I$37</f>
        <v>7.4999999999999997E-3</v>
      </c>
      <c r="AD163">
        <f>AA163/1000*0.001*一般構造素材物性!$H$19</f>
        <v>1.4400000000000001E-2</v>
      </c>
      <c r="AF163">
        <f t="shared" si="8"/>
        <v>3.3726000000000003</v>
      </c>
    </row>
    <row r="164" spans="17:32">
      <c r="Q164">
        <v>155</v>
      </c>
      <c r="R164">
        <v>-20</v>
      </c>
      <c r="S164">
        <v>20</v>
      </c>
      <c r="T164">
        <v>20</v>
      </c>
      <c r="U164">
        <v>20</v>
      </c>
      <c r="V164">
        <v>20</v>
      </c>
      <c r="W164">
        <v>-20</v>
      </c>
      <c r="X164">
        <v>-20</v>
      </c>
      <c r="Y164">
        <v>-20</v>
      </c>
      <c r="AA164">
        <f t="shared" si="6"/>
        <v>160</v>
      </c>
      <c r="AB164">
        <f t="shared" si="7"/>
        <v>4</v>
      </c>
      <c r="AC164">
        <f>AB164/1000*一般構造素材物性!$I$37</f>
        <v>7.4999999999999997E-3</v>
      </c>
      <c r="AD164">
        <f>AA164/1000*0.001*一般構造素材物性!$H$19</f>
        <v>1.4400000000000001E-2</v>
      </c>
      <c r="AF164">
        <f t="shared" si="8"/>
        <v>3.3945000000000003</v>
      </c>
    </row>
    <row r="165" spans="17:32">
      <c r="Q165">
        <v>156</v>
      </c>
      <c r="R165">
        <v>-20</v>
      </c>
      <c r="S165">
        <v>20</v>
      </c>
      <c r="T165">
        <v>20</v>
      </c>
      <c r="U165">
        <v>20</v>
      </c>
      <c r="V165">
        <v>20</v>
      </c>
      <c r="W165">
        <v>-20</v>
      </c>
      <c r="X165">
        <v>-20</v>
      </c>
      <c r="Y165">
        <v>-20</v>
      </c>
      <c r="AA165">
        <f t="shared" si="6"/>
        <v>160</v>
      </c>
      <c r="AB165">
        <f t="shared" si="7"/>
        <v>4</v>
      </c>
      <c r="AC165">
        <f>AB165/1000*一般構造素材物性!$I$37</f>
        <v>7.4999999999999997E-3</v>
      </c>
      <c r="AD165">
        <f>AA165/1000*0.001*一般構造素材物性!$H$19</f>
        <v>1.4400000000000001E-2</v>
      </c>
      <c r="AF165">
        <f t="shared" si="8"/>
        <v>3.4164000000000003</v>
      </c>
    </row>
    <row r="166" spans="17:32">
      <c r="Q166">
        <v>157</v>
      </c>
      <c r="R166">
        <v>-20</v>
      </c>
      <c r="S166">
        <v>20</v>
      </c>
      <c r="T166">
        <v>20</v>
      </c>
      <c r="U166">
        <v>20</v>
      </c>
      <c r="V166">
        <v>20</v>
      </c>
      <c r="W166">
        <v>-20</v>
      </c>
      <c r="X166">
        <v>-20</v>
      </c>
      <c r="Y166">
        <v>-20</v>
      </c>
      <c r="AA166">
        <f t="shared" si="6"/>
        <v>160</v>
      </c>
      <c r="AB166">
        <f t="shared" si="7"/>
        <v>4</v>
      </c>
      <c r="AC166">
        <f>AB166/1000*一般構造素材物性!$I$37</f>
        <v>7.4999999999999997E-3</v>
      </c>
      <c r="AD166">
        <f>AA166/1000*0.001*一般構造素材物性!$H$19</f>
        <v>1.4400000000000001E-2</v>
      </c>
      <c r="AF166">
        <f t="shared" si="8"/>
        <v>3.4383000000000004</v>
      </c>
    </row>
    <row r="167" spans="17:32">
      <c r="Q167">
        <v>158</v>
      </c>
      <c r="R167">
        <v>-20</v>
      </c>
      <c r="S167">
        <v>20</v>
      </c>
      <c r="T167">
        <v>20</v>
      </c>
      <c r="U167">
        <v>20</v>
      </c>
      <c r="V167">
        <v>20</v>
      </c>
      <c r="W167">
        <v>-20</v>
      </c>
      <c r="X167">
        <v>-20</v>
      </c>
      <c r="Y167">
        <v>-20</v>
      </c>
      <c r="AA167">
        <f t="shared" si="6"/>
        <v>160</v>
      </c>
      <c r="AB167">
        <f t="shared" si="7"/>
        <v>4</v>
      </c>
      <c r="AC167">
        <f>AB167/1000*一般構造素材物性!$I$37</f>
        <v>7.4999999999999997E-3</v>
      </c>
      <c r="AD167">
        <f>AA167/1000*0.001*一般構造素材物性!$H$19</f>
        <v>1.4400000000000001E-2</v>
      </c>
      <c r="AF167">
        <f t="shared" si="8"/>
        <v>3.4602000000000004</v>
      </c>
    </row>
    <row r="168" spans="17:32">
      <c r="Q168">
        <v>159</v>
      </c>
      <c r="R168">
        <v>-20</v>
      </c>
      <c r="S168">
        <v>20</v>
      </c>
      <c r="T168">
        <v>20</v>
      </c>
      <c r="U168">
        <v>20</v>
      </c>
      <c r="V168">
        <v>20</v>
      </c>
      <c r="W168">
        <v>-20</v>
      </c>
      <c r="X168">
        <v>-20</v>
      </c>
      <c r="Y168">
        <v>-20</v>
      </c>
      <c r="AA168">
        <f t="shared" si="6"/>
        <v>160</v>
      </c>
      <c r="AB168">
        <f t="shared" si="7"/>
        <v>4</v>
      </c>
      <c r="AC168">
        <f>AB168/1000*一般構造素材物性!$I$37</f>
        <v>7.4999999999999997E-3</v>
      </c>
      <c r="AD168">
        <f>AA168/1000*0.001*一般構造素材物性!$H$19</f>
        <v>1.4400000000000001E-2</v>
      </c>
      <c r="AF168">
        <f t="shared" si="8"/>
        <v>3.4821000000000004</v>
      </c>
    </row>
    <row r="169" spans="17:32">
      <c r="Q169">
        <v>160</v>
      </c>
      <c r="R169">
        <v>-20</v>
      </c>
      <c r="S169">
        <v>20</v>
      </c>
      <c r="T169">
        <v>20</v>
      </c>
      <c r="U169">
        <v>20</v>
      </c>
      <c r="V169">
        <v>20</v>
      </c>
      <c r="W169">
        <v>-20</v>
      </c>
      <c r="X169">
        <v>-20</v>
      </c>
      <c r="Y169">
        <v>-20</v>
      </c>
      <c r="AA169">
        <f t="shared" si="6"/>
        <v>160</v>
      </c>
      <c r="AB169">
        <f t="shared" si="7"/>
        <v>4</v>
      </c>
      <c r="AC169">
        <f>AB169/1000*一般構造素材物性!$I$37</f>
        <v>7.4999999999999997E-3</v>
      </c>
      <c r="AD169">
        <f>AA169/1000*0.001*一般構造素材物性!$H$19</f>
        <v>1.4400000000000001E-2</v>
      </c>
      <c r="AF169">
        <f t="shared" si="8"/>
        <v>3.5040000000000004</v>
      </c>
    </row>
    <row r="170" spans="17:32">
      <c r="Q170">
        <v>161</v>
      </c>
      <c r="R170">
        <v>-20</v>
      </c>
      <c r="S170">
        <v>20</v>
      </c>
      <c r="T170">
        <v>20</v>
      </c>
      <c r="U170">
        <v>20</v>
      </c>
      <c r="V170">
        <v>20</v>
      </c>
      <c r="W170">
        <v>-20</v>
      </c>
      <c r="X170">
        <v>-20</v>
      </c>
      <c r="Y170">
        <v>-20</v>
      </c>
      <c r="AA170">
        <f t="shared" si="6"/>
        <v>160</v>
      </c>
      <c r="AB170">
        <f t="shared" si="7"/>
        <v>4</v>
      </c>
      <c r="AC170">
        <f>AB170/1000*一般構造素材物性!$I$37</f>
        <v>7.4999999999999997E-3</v>
      </c>
      <c r="AD170">
        <f>AA170/1000*0.001*一般構造素材物性!$H$19</f>
        <v>1.4400000000000001E-2</v>
      </c>
      <c r="AF170">
        <f t="shared" si="8"/>
        <v>3.5259000000000005</v>
      </c>
    </row>
    <row r="171" spans="17:32">
      <c r="Q171">
        <v>162</v>
      </c>
      <c r="R171">
        <v>-20</v>
      </c>
      <c r="S171">
        <v>20</v>
      </c>
      <c r="T171">
        <v>20</v>
      </c>
      <c r="U171">
        <v>20</v>
      </c>
      <c r="V171">
        <v>20</v>
      </c>
      <c r="W171">
        <v>-20</v>
      </c>
      <c r="X171">
        <v>-20</v>
      </c>
      <c r="Y171">
        <v>-20</v>
      </c>
      <c r="AA171">
        <f t="shared" si="6"/>
        <v>160</v>
      </c>
      <c r="AB171">
        <f t="shared" si="7"/>
        <v>4</v>
      </c>
      <c r="AC171">
        <f>AB171/1000*一般構造素材物性!$I$37</f>
        <v>7.4999999999999997E-3</v>
      </c>
      <c r="AD171">
        <f>AA171/1000*0.001*一般構造素材物性!$H$19</f>
        <v>1.4400000000000001E-2</v>
      </c>
      <c r="AF171">
        <f t="shared" si="8"/>
        <v>3.5478000000000005</v>
      </c>
    </row>
    <row r="172" spans="17:32">
      <c r="Q172">
        <v>163</v>
      </c>
      <c r="R172">
        <v>-20</v>
      </c>
      <c r="S172">
        <v>20</v>
      </c>
      <c r="T172">
        <v>20</v>
      </c>
      <c r="U172">
        <v>20</v>
      </c>
      <c r="V172">
        <v>20</v>
      </c>
      <c r="W172">
        <v>-20</v>
      </c>
      <c r="X172">
        <v>-20</v>
      </c>
      <c r="Y172">
        <v>-20</v>
      </c>
      <c r="AA172">
        <f t="shared" si="6"/>
        <v>160</v>
      </c>
      <c r="AB172">
        <f t="shared" si="7"/>
        <v>4</v>
      </c>
      <c r="AC172">
        <f>AB172/1000*一般構造素材物性!$I$37</f>
        <v>7.4999999999999997E-3</v>
      </c>
      <c r="AD172">
        <f>AA172/1000*0.001*一般構造素材物性!$H$19</f>
        <v>1.4400000000000001E-2</v>
      </c>
      <c r="AF172">
        <f t="shared" si="8"/>
        <v>3.5697000000000005</v>
      </c>
    </row>
    <row r="173" spans="17:32">
      <c r="Q173">
        <v>164</v>
      </c>
      <c r="R173">
        <v>-20</v>
      </c>
      <c r="S173">
        <v>20</v>
      </c>
      <c r="T173">
        <v>20</v>
      </c>
      <c r="U173">
        <v>20</v>
      </c>
      <c r="V173">
        <v>20</v>
      </c>
      <c r="W173">
        <v>-20</v>
      </c>
      <c r="X173">
        <v>-20</v>
      </c>
      <c r="Y173">
        <v>-20</v>
      </c>
      <c r="AA173">
        <f t="shared" si="6"/>
        <v>160</v>
      </c>
      <c r="AB173">
        <f t="shared" si="7"/>
        <v>4</v>
      </c>
      <c r="AC173">
        <f>AB173/1000*一般構造素材物性!$I$37</f>
        <v>7.4999999999999997E-3</v>
      </c>
      <c r="AD173">
        <f>AA173/1000*0.001*一般構造素材物性!$H$19</f>
        <v>1.4400000000000001E-2</v>
      </c>
      <c r="AF173">
        <f t="shared" si="8"/>
        <v>3.5916000000000006</v>
      </c>
    </row>
    <row r="174" spans="17:32">
      <c r="Q174">
        <v>165</v>
      </c>
      <c r="R174">
        <v>-20</v>
      </c>
      <c r="S174">
        <v>20</v>
      </c>
      <c r="T174">
        <v>20</v>
      </c>
      <c r="U174">
        <v>20</v>
      </c>
      <c r="V174">
        <v>20</v>
      </c>
      <c r="W174">
        <v>-20</v>
      </c>
      <c r="X174">
        <v>-20</v>
      </c>
      <c r="Y174">
        <v>-20</v>
      </c>
      <c r="AA174">
        <f t="shared" si="6"/>
        <v>160</v>
      </c>
      <c r="AB174">
        <f t="shared" si="7"/>
        <v>4</v>
      </c>
      <c r="AC174">
        <f>AB174/1000*一般構造素材物性!$I$37</f>
        <v>7.4999999999999997E-3</v>
      </c>
      <c r="AD174">
        <f>AA174/1000*0.001*一般構造素材物性!$H$19</f>
        <v>1.4400000000000001E-2</v>
      </c>
      <c r="AF174">
        <f t="shared" si="8"/>
        <v>3.6135000000000006</v>
      </c>
    </row>
    <row r="175" spans="17:32">
      <c r="Q175">
        <v>166</v>
      </c>
      <c r="R175">
        <v>-20</v>
      </c>
      <c r="S175">
        <v>20</v>
      </c>
      <c r="T175">
        <v>20</v>
      </c>
      <c r="U175">
        <v>20</v>
      </c>
      <c r="V175">
        <v>20</v>
      </c>
      <c r="W175">
        <v>-20</v>
      </c>
      <c r="X175">
        <v>-20</v>
      </c>
      <c r="Y175">
        <v>-20</v>
      </c>
      <c r="AA175">
        <f t="shared" si="6"/>
        <v>160</v>
      </c>
      <c r="AB175">
        <f t="shared" si="7"/>
        <v>4</v>
      </c>
      <c r="AC175">
        <f>AB175/1000*一般構造素材物性!$I$37</f>
        <v>7.4999999999999997E-3</v>
      </c>
      <c r="AD175">
        <f>AA175/1000*0.001*一般構造素材物性!$H$19</f>
        <v>1.4400000000000001E-2</v>
      </c>
      <c r="AF175">
        <f t="shared" si="8"/>
        <v>3.6354000000000006</v>
      </c>
    </row>
    <row r="176" spans="17:32">
      <c r="Q176">
        <v>167</v>
      </c>
      <c r="R176">
        <v>-20</v>
      </c>
      <c r="S176">
        <v>20</v>
      </c>
      <c r="T176">
        <v>20</v>
      </c>
      <c r="U176">
        <v>20</v>
      </c>
      <c r="V176">
        <v>20</v>
      </c>
      <c r="W176">
        <v>-20</v>
      </c>
      <c r="X176">
        <v>-20</v>
      </c>
      <c r="Y176">
        <v>-20</v>
      </c>
      <c r="AA176">
        <f t="shared" si="6"/>
        <v>160</v>
      </c>
      <c r="AB176">
        <f t="shared" si="7"/>
        <v>4</v>
      </c>
      <c r="AC176">
        <f>AB176/1000*一般構造素材物性!$I$37</f>
        <v>7.4999999999999997E-3</v>
      </c>
      <c r="AD176">
        <f>AA176/1000*0.001*一般構造素材物性!$H$19</f>
        <v>1.4400000000000001E-2</v>
      </c>
      <c r="AF176">
        <f t="shared" si="8"/>
        <v>3.6573000000000007</v>
      </c>
    </row>
    <row r="177" spans="17:32">
      <c r="Q177">
        <v>168</v>
      </c>
      <c r="R177">
        <v>-20</v>
      </c>
      <c r="S177">
        <v>20</v>
      </c>
      <c r="T177">
        <v>20</v>
      </c>
      <c r="U177">
        <v>20</v>
      </c>
      <c r="V177">
        <v>20</v>
      </c>
      <c r="W177">
        <v>-20</v>
      </c>
      <c r="X177">
        <v>-20</v>
      </c>
      <c r="Y177">
        <v>-20</v>
      </c>
      <c r="AA177">
        <f t="shared" si="6"/>
        <v>160</v>
      </c>
      <c r="AB177">
        <f t="shared" si="7"/>
        <v>4</v>
      </c>
      <c r="AC177">
        <f>AB177/1000*一般構造素材物性!$I$37</f>
        <v>7.4999999999999997E-3</v>
      </c>
      <c r="AD177">
        <f>AA177/1000*0.001*一般構造素材物性!$H$19</f>
        <v>1.4400000000000001E-2</v>
      </c>
      <c r="AF177">
        <f t="shared" si="8"/>
        <v>3.6792000000000007</v>
      </c>
    </row>
    <row r="178" spans="17:32">
      <c r="Q178">
        <v>169</v>
      </c>
      <c r="R178">
        <v>-20</v>
      </c>
      <c r="S178">
        <v>20</v>
      </c>
      <c r="T178">
        <v>20</v>
      </c>
      <c r="U178">
        <v>20</v>
      </c>
      <c r="V178">
        <v>20</v>
      </c>
      <c r="W178">
        <v>-20</v>
      </c>
      <c r="X178">
        <v>-20</v>
      </c>
      <c r="Y178">
        <v>-20</v>
      </c>
      <c r="AA178">
        <f t="shared" si="6"/>
        <v>160</v>
      </c>
      <c r="AB178">
        <f t="shared" si="7"/>
        <v>4</v>
      </c>
      <c r="AC178">
        <f>AB178/1000*一般構造素材物性!$I$37</f>
        <v>7.4999999999999997E-3</v>
      </c>
      <c r="AD178">
        <f>AA178/1000*0.001*一般構造素材物性!$H$19</f>
        <v>1.4400000000000001E-2</v>
      </c>
      <c r="AF178">
        <f t="shared" si="8"/>
        <v>3.7011000000000003</v>
      </c>
    </row>
    <row r="179" spans="17:32">
      <c r="Q179">
        <v>170</v>
      </c>
      <c r="R179">
        <v>-20</v>
      </c>
      <c r="S179">
        <v>20</v>
      </c>
      <c r="T179">
        <v>20</v>
      </c>
      <c r="U179">
        <v>20</v>
      </c>
      <c r="V179">
        <v>20</v>
      </c>
      <c r="W179">
        <v>-20</v>
      </c>
      <c r="X179">
        <v>-20</v>
      </c>
      <c r="Y179">
        <v>-20</v>
      </c>
      <c r="AA179">
        <f t="shared" si="6"/>
        <v>160</v>
      </c>
      <c r="AB179">
        <f t="shared" si="7"/>
        <v>4</v>
      </c>
      <c r="AC179">
        <f>AB179/1000*一般構造素材物性!$I$37</f>
        <v>7.4999999999999997E-3</v>
      </c>
      <c r="AD179">
        <f>AA179/1000*0.001*一般構造素材物性!$H$19</f>
        <v>1.4400000000000001E-2</v>
      </c>
      <c r="AF179">
        <f t="shared" si="8"/>
        <v>3.7230000000000003</v>
      </c>
    </row>
    <row r="180" spans="17:32">
      <c r="Q180">
        <v>171</v>
      </c>
      <c r="R180">
        <v>-20</v>
      </c>
      <c r="S180">
        <v>20</v>
      </c>
      <c r="T180">
        <v>20</v>
      </c>
      <c r="U180">
        <v>20</v>
      </c>
      <c r="V180">
        <v>20</v>
      </c>
      <c r="W180">
        <v>-20</v>
      </c>
      <c r="X180">
        <v>-20</v>
      </c>
      <c r="Y180">
        <v>-20</v>
      </c>
      <c r="AA180">
        <f t="shared" si="6"/>
        <v>160</v>
      </c>
      <c r="AB180">
        <f t="shared" si="7"/>
        <v>4</v>
      </c>
      <c r="AC180">
        <f>AB180/1000*一般構造素材物性!$I$37</f>
        <v>7.4999999999999997E-3</v>
      </c>
      <c r="AD180">
        <f>AA180/1000*0.001*一般構造素材物性!$H$19</f>
        <v>1.4400000000000001E-2</v>
      </c>
      <c r="AF180">
        <f t="shared" si="8"/>
        <v>3.7449000000000003</v>
      </c>
    </row>
    <row r="181" spans="17:32">
      <c r="Q181">
        <v>172</v>
      </c>
      <c r="R181">
        <v>-20</v>
      </c>
      <c r="S181">
        <v>20</v>
      </c>
      <c r="T181">
        <v>20</v>
      </c>
      <c r="U181">
        <v>20</v>
      </c>
      <c r="V181">
        <v>20</v>
      </c>
      <c r="W181">
        <v>-20</v>
      </c>
      <c r="X181">
        <v>-20</v>
      </c>
      <c r="Y181">
        <v>-20</v>
      </c>
      <c r="AA181">
        <f t="shared" si="6"/>
        <v>160</v>
      </c>
      <c r="AB181">
        <f t="shared" si="7"/>
        <v>4</v>
      </c>
      <c r="AC181">
        <f>AB181/1000*一般構造素材物性!$I$37</f>
        <v>7.4999999999999997E-3</v>
      </c>
      <c r="AD181">
        <f>AA181/1000*0.001*一般構造素材物性!$H$19</f>
        <v>1.4400000000000001E-2</v>
      </c>
      <c r="AF181">
        <f t="shared" si="8"/>
        <v>3.7668000000000004</v>
      </c>
    </row>
    <row r="182" spans="17:32">
      <c r="Q182">
        <v>173</v>
      </c>
      <c r="R182">
        <v>-20</v>
      </c>
      <c r="S182">
        <v>20</v>
      </c>
      <c r="T182">
        <v>20</v>
      </c>
      <c r="U182">
        <v>20</v>
      </c>
      <c r="V182">
        <v>20</v>
      </c>
      <c r="W182">
        <v>-20</v>
      </c>
      <c r="X182">
        <v>-20</v>
      </c>
      <c r="Y182">
        <v>-20</v>
      </c>
      <c r="AA182">
        <f t="shared" si="6"/>
        <v>160</v>
      </c>
      <c r="AB182">
        <f t="shared" si="7"/>
        <v>4</v>
      </c>
      <c r="AC182">
        <f>AB182/1000*一般構造素材物性!$I$37</f>
        <v>7.4999999999999997E-3</v>
      </c>
      <c r="AD182">
        <f>AA182/1000*0.001*一般構造素材物性!$H$19</f>
        <v>1.4400000000000001E-2</v>
      </c>
      <c r="AF182">
        <f t="shared" si="8"/>
        <v>3.7887000000000004</v>
      </c>
    </row>
    <row r="183" spans="17:32">
      <c r="Q183">
        <v>174</v>
      </c>
      <c r="R183">
        <v>-20</v>
      </c>
      <c r="S183">
        <v>20</v>
      </c>
      <c r="T183">
        <v>20</v>
      </c>
      <c r="U183">
        <v>20</v>
      </c>
      <c r="V183">
        <v>20</v>
      </c>
      <c r="W183">
        <v>-20</v>
      </c>
      <c r="X183">
        <v>-20</v>
      </c>
      <c r="Y183">
        <v>-20</v>
      </c>
      <c r="AA183">
        <f t="shared" si="6"/>
        <v>160</v>
      </c>
      <c r="AB183">
        <f t="shared" si="7"/>
        <v>4</v>
      </c>
      <c r="AC183">
        <f>AB183/1000*一般構造素材物性!$I$37</f>
        <v>7.4999999999999997E-3</v>
      </c>
      <c r="AD183">
        <f>AA183/1000*0.001*一般構造素材物性!$H$19</f>
        <v>1.4400000000000001E-2</v>
      </c>
      <c r="AF183">
        <f t="shared" si="8"/>
        <v>3.8106000000000004</v>
      </c>
    </row>
    <row r="184" spans="17:32">
      <c r="Q184">
        <v>175</v>
      </c>
      <c r="R184">
        <v>-20</v>
      </c>
      <c r="S184">
        <v>20</v>
      </c>
      <c r="T184">
        <v>20</v>
      </c>
      <c r="U184">
        <v>20</v>
      </c>
      <c r="V184">
        <v>20</v>
      </c>
      <c r="W184">
        <v>-20</v>
      </c>
      <c r="X184">
        <v>-20</v>
      </c>
      <c r="Y184">
        <v>-20</v>
      </c>
      <c r="AA184">
        <f t="shared" si="6"/>
        <v>160</v>
      </c>
      <c r="AB184">
        <f t="shared" si="7"/>
        <v>4</v>
      </c>
      <c r="AC184">
        <f>AB184/1000*一般構造素材物性!$I$37</f>
        <v>7.4999999999999997E-3</v>
      </c>
      <c r="AD184">
        <f>AA184/1000*0.001*一般構造素材物性!$H$19</f>
        <v>1.4400000000000001E-2</v>
      </c>
      <c r="AF184">
        <f t="shared" si="8"/>
        <v>3.8325000000000005</v>
      </c>
    </row>
    <row r="185" spans="17:32">
      <c r="Q185">
        <v>176</v>
      </c>
      <c r="R185">
        <v>-20</v>
      </c>
      <c r="S185">
        <v>20</v>
      </c>
      <c r="T185">
        <v>20</v>
      </c>
      <c r="U185">
        <v>20</v>
      </c>
      <c r="V185">
        <v>20</v>
      </c>
      <c r="W185">
        <v>-20</v>
      </c>
      <c r="X185">
        <v>-20</v>
      </c>
      <c r="Y185">
        <v>-20</v>
      </c>
      <c r="AA185">
        <f t="shared" si="6"/>
        <v>160</v>
      </c>
      <c r="AB185">
        <f t="shared" si="7"/>
        <v>4</v>
      </c>
      <c r="AC185">
        <f>AB185/1000*一般構造素材物性!$I$37</f>
        <v>7.4999999999999997E-3</v>
      </c>
      <c r="AD185">
        <f>AA185/1000*0.001*一般構造素材物性!$H$19</f>
        <v>1.4400000000000001E-2</v>
      </c>
      <c r="AF185">
        <f t="shared" si="8"/>
        <v>3.8544000000000005</v>
      </c>
    </row>
    <row r="186" spans="17:32">
      <c r="Q186">
        <v>177</v>
      </c>
      <c r="R186">
        <v>-20</v>
      </c>
      <c r="S186">
        <v>20</v>
      </c>
      <c r="T186">
        <v>20</v>
      </c>
      <c r="U186">
        <v>20</v>
      </c>
      <c r="V186">
        <v>20</v>
      </c>
      <c r="W186">
        <v>-20</v>
      </c>
      <c r="X186">
        <v>-20</v>
      </c>
      <c r="Y186">
        <v>-20</v>
      </c>
      <c r="AA186">
        <f t="shared" si="6"/>
        <v>160</v>
      </c>
      <c r="AB186">
        <f t="shared" si="7"/>
        <v>4</v>
      </c>
      <c r="AC186">
        <f>AB186/1000*一般構造素材物性!$I$37</f>
        <v>7.4999999999999997E-3</v>
      </c>
      <c r="AD186">
        <f>AA186/1000*0.001*一般構造素材物性!$H$19</f>
        <v>1.4400000000000001E-2</v>
      </c>
      <c r="AF186">
        <f t="shared" si="8"/>
        <v>3.8763000000000005</v>
      </c>
    </row>
    <row r="187" spans="17:32">
      <c r="Q187">
        <v>178</v>
      </c>
      <c r="R187">
        <v>-20</v>
      </c>
      <c r="S187">
        <v>20</v>
      </c>
      <c r="T187">
        <v>20</v>
      </c>
      <c r="U187">
        <v>20</v>
      </c>
      <c r="V187">
        <v>20</v>
      </c>
      <c r="W187">
        <v>-20</v>
      </c>
      <c r="X187">
        <v>-20</v>
      </c>
      <c r="Y187">
        <v>-20</v>
      </c>
      <c r="AA187">
        <f t="shared" si="6"/>
        <v>160</v>
      </c>
      <c r="AB187">
        <f t="shared" si="7"/>
        <v>4</v>
      </c>
      <c r="AC187">
        <f>AB187/1000*一般構造素材物性!$I$37</f>
        <v>7.4999999999999997E-3</v>
      </c>
      <c r="AD187">
        <f>AA187/1000*0.001*一般構造素材物性!$H$19</f>
        <v>1.4400000000000001E-2</v>
      </c>
      <c r="AF187">
        <f t="shared" si="8"/>
        <v>3.8982000000000006</v>
      </c>
    </row>
    <row r="188" spans="17:32">
      <c r="Q188">
        <v>179</v>
      </c>
      <c r="R188">
        <v>-20</v>
      </c>
      <c r="S188">
        <v>20</v>
      </c>
      <c r="T188">
        <v>20</v>
      </c>
      <c r="U188">
        <v>20</v>
      </c>
      <c r="V188">
        <v>20</v>
      </c>
      <c r="W188">
        <v>-20</v>
      </c>
      <c r="X188">
        <v>-20</v>
      </c>
      <c r="Y188">
        <v>-20</v>
      </c>
      <c r="AA188">
        <f t="shared" si="6"/>
        <v>160</v>
      </c>
      <c r="AB188">
        <f t="shared" si="7"/>
        <v>4</v>
      </c>
      <c r="AC188">
        <f>AB188/1000*一般構造素材物性!$I$37</f>
        <v>7.4999999999999997E-3</v>
      </c>
      <c r="AD188">
        <f>AA188/1000*0.001*一般構造素材物性!$H$19</f>
        <v>1.4400000000000001E-2</v>
      </c>
      <c r="AF188">
        <f t="shared" si="8"/>
        <v>3.9201000000000006</v>
      </c>
    </row>
    <row r="189" spans="17:32">
      <c r="Q189">
        <v>180</v>
      </c>
      <c r="R189">
        <v>-20</v>
      </c>
      <c r="S189">
        <v>20</v>
      </c>
      <c r="T189">
        <v>20</v>
      </c>
      <c r="U189">
        <v>20</v>
      </c>
      <c r="V189">
        <v>20</v>
      </c>
      <c r="W189">
        <v>-20</v>
      </c>
      <c r="X189">
        <v>-20</v>
      </c>
      <c r="Y189">
        <v>-20</v>
      </c>
      <c r="AA189">
        <f t="shared" si="6"/>
        <v>160</v>
      </c>
      <c r="AB189">
        <f t="shared" si="7"/>
        <v>4</v>
      </c>
      <c r="AC189">
        <f>AB189/1000*一般構造素材物性!$I$37</f>
        <v>7.4999999999999997E-3</v>
      </c>
      <c r="AD189">
        <f>AA189/1000*0.001*一般構造素材物性!$H$19</f>
        <v>1.4400000000000001E-2</v>
      </c>
      <c r="AF189">
        <f t="shared" si="8"/>
        <v>3.9420000000000006</v>
      </c>
    </row>
    <row r="190" spans="17:32">
      <c r="Q190">
        <v>181</v>
      </c>
      <c r="R190">
        <v>-20</v>
      </c>
      <c r="S190">
        <v>20</v>
      </c>
      <c r="T190">
        <v>20</v>
      </c>
      <c r="U190">
        <v>20</v>
      </c>
      <c r="V190">
        <v>20</v>
      </c>
      <c r="W190">
        <v>-20</v>
      </c>
      <c r="X190">
        <v>-20</v>
      </c>
      <c r="Y190">
        <v>-20</v>
      </c>
      <c r="AA190">
        <f t="shared" si="6"/>
        <v>160</v>
      </c>
      <c r="AB190">
        <f t="shared" si="7"/>
        <v>4</v>
      </c>
      <c r="AC190">
        <f>AB190/1000*一般構造素材物性!$I$37</f>
        <v>7.4999999999999997E-3</v>
      </c>
      <c r="AD190">
        <f>AA190/1000*0.001*一般構造素材物性!$H$19</f>
        <v>1.4400000000000001E-2</v>
      </c>
      <c r="AF190">
        <f t="shared" si="8"/>
        <v>3.9639000000000006</v>
      </c>
    </row>
    <row r="191" spans="17:32">
      <c r="Q191">
        <v>182</v>
      </c>
      <c r="R191">
        <v>-20</v>
      </c>
      <c r="S191">
        <v>20</v>
      </c>
      <c r="T191">
        <v>20</v>
      </c>
      <c r="U191">
        <v>20</v>
      </c>
      <c r="V191">
        <v>20</v>
      </c>
      <c r="W191">
        <v>-20</v>
      </c>
      <c r="X191">
        <v>-20</v>
      </c>
      <c r="Y191">
        <v>-20</v>
      </c>
      <c r="AA191">
        <f t="shared" si="6"/>
        <v>160</v>
      </c>
      <c r="AB191">
        <f t="shared" si="7"/>
        <v>4</v>
      </c>
      <c r="AC191">
        <f>AB191/1000*一般構造素材物性!$I$37</f>
        <v>7.4999999999999997E-3</v>
      </c>
      <c r="AD191">
        <f>AA191/1000*0.001*一般構造素材物性!$H$19</f>
        <v>1.4400000000000001E-2</v>
      </c>
      <c r="AF191">
        <f t="shared" si="8"/>
        <v>3.9858000000000007</v>
      </c>
    </row>
    <row r="192" spans="17:32">
      <c r="Q192">
        <v>183</v>
      </c>
      <c r="R192">
        <v>-20</v>
      </c>
      <c r="S192">
        <v>20</v>
      </c>
      <c r="T192">
        <v>20</v>
      </c>
      <c r="U192">
        <v>20</v>
      </c>
      <c r="V192">
        <v>20</v>
      </c>
      <c r="W192">
        <v>-20</v>
      </c>
      <c r="X192">
        <v>-20</v>
      </c>
      <c r="Y192">
        <v>-20</v>
      </c>
      <c r="AA192">
        <f t="shared" si="6"/>
        <v>160</v>
      </c>
      <c r="AB192">
        <f t="shared" si="7"/>
        <v>4</v>
      </c>
      <c r="AC192">
        <f>AB192/1000*一般構造素材物性!$I$37</f>
        <v>7.4999999999999997E-3</v>
      </c>
      <c r="AD192">
        <f>AA192/1000*0.001*一般構造素材物性!$H$19</f>
        <v>1.4400000000000001E-2</v>
      </c>
      <c r="AF192">
        <f t="shared" si="8"/>
        <v>4.0077000000000007</v>
      </c>
    </row>
    <row r="193" spans="17:32">
      <c r="Q193">
        <v>184</v>
      </c>
      <c r="R193">
        <v>-20</v>
      </c>
      <c r="S193">
        <v>20</v>
      </c>
      <c r="T193">
        <v>20</v>
      </c>
      <c r="U193">
        <v>20</v>
      </c>
      <c r="V193">
        <v>20</v>
      </c>
      <c r="W193">
        <v>-20</v>
      </c>
      <c r="X193">
        <v>-20</v>
      </c>
      <c r="Y193">
        <v>-20</v>
      </c>
      <c r="AA193">
        <f t="shared" si="6"/>
        <v>160</v>
      </c>
      <c r="AB193">
        <f t="shared" si="7"/>
        <v>4</v>
      </c>
      <c r="AC193">
        <f>AB193/1000*一般構造素材物性!$I$37</f>
        <v>7.4999999999999997E-3</v>
      </c>
      <c r="AD193">
        <f>AA193/1000*0.001*一般構造素材物性!$H$19</f>
        <v>1.4400000000000001E-2</v>
      </c>
      <c r="AF193">
        <f t="shared" si="8"/>
        <v>4.0296000000000003</v>
      </c>
    </row>
    <row r="194" spans="17:32">
      <c r="Q194">
        <v>185</v>
      </c>
      <c r="R194">
        <v>-20</v>
      </c>
      <c r="S194">
        <v>20</v>
      </c>
      <c r="T194">
        <v>20</v>
      </c>
      <c r="U194">
        <v>20</v>
      </c>
      <c r="V194">
        <v>20</v>
      </c>
      <c r="W194">
        <v>-20</v>
      </c>
      <c r="X194">
        <v>-20</v>
      </c>
      <c r="Y194">
        <v>-20</v>
      </c>
      <c r="AA194">
        <f t="shared" si="6"/>
        <v>160</v>
      </c>
      <c r="AB194">
        <f t="shared" si="7"/>
        <v>4</v>
      </c>
      <c r="AC194">
        <f>AB194/1000*一般構造素材物性!$I$37</f>
        <v>7.4999999999999997E-3</v>
      </c>
      <c r="AD194">
        <f>AA194/1000*0.001*一般構造素材物性!$H$19</f>
        <v>1.4400000000000001E-2</v>
      </c>
      <c r="AF194">
        <f t="shared" si="8"/>
        <v>4.0515000000000008</v>
      </c>
    </row>
    <row r="195" spans="17:32">
      <c r="Q195">
        <v>186</v>
      </c>
      <c r="R195">
        <v>-20</v>
      </c>
      <c r="S195">
        <v>20</v>
      </c>
      <c r="T195">
        <v>20</v>
      </c>
      <c r="U195">
        <v>20</v>
      </c>
      <c r="V195">
        <v>20</v>
      </c>
      <c r="W195">
        <v>-20</v>
      </c>
      <c r="X195">
        <v>-20</v>
      </c>
      <c r="Y195">
        <v>-20</v>
      </c>
      <c r="AA195">
        <f t="shared" si="6"/>
        <v>160</v>
      </c>
      <c r="AB195">
        <f t="shared" si="7"/>
        <v>4</v>
      </c>
      <c r="AC195">
        <f>AB195/1000*一般構造素材物性!$I$37</f>
        <v>7.4999999999999997E-3</v>
      </c>
      <c r="AD195">
        <f>AA195/1000*0.001*一般構造素材物性!$H$19</f>
        <v>1.4400000000000001E-2</v>
      </c>
      <c r="AF195">
        <f t="shared" si="8"/>
        <v>4.0734000000000004</v>
      </c>
    </row>
    <row r="196" spans="17:32">
      <c r="Q196">
        <v>187</v>
      </c>
      <c r="R196">
        <v>-20</v>
      </c>
      <c r="S196">
        <v>20</v>
      </c>
      <c r="T196">
        <v>20</v>
      </c>
      <c r="U196">
        <v>20</v>
      </c>
      <c r="V196">
        <v>20</v>
      </c>
      <c r="W196">
        <v>-20</v>
      </c>
      <c r="X196">
        <v>-20</v>
      </c>
      <c r="Y196">
        <v>-20</v>
      </c>
      <c r="AA196">
        <f t="shared" si="6"/>
        <v>160</v>
      </c>
      <c r="AB196">
        <f t="shared" si="7"/>
        <v>4</v>
      </c>
      <c r="AC196">
        <f>AB196/1000*一般構造素材物性!$I$37</f>
        <v>7.4999999999999997E-3</v>
      </c>
      <c r="AD196">
        <f>AA196/1000*0.001*一般構造素材物性!$H$19</f>
        <v>1.4400000000000001E-2</v>
      </c>
      <c r="AF196">
        <f t="shared" si="8"/>
        <v>4.0953000000000008</v>
      </c>
    </row>
    <row r="197" spans="17:32">
      <c r="Q197">
        <v>188</v>
      </c>
      <c r="R197">
        <v>-20</v>
      </c>
      <c r="S197">
        <v>20</v>
      </c>
      <c r="T197">
        <v>20</v>
      </c>
      <c r="U197">
        <v>20</v>
      </c>
      <c r="V197">
        <v>20</v>
      </c>
      <c r="W197">
        <v>-20</v>
      </c>
      <c r="X197">
        <v>-20</v>
      </c>
      <c r="Y197">
        <v>-20</v>
      </c>
      <c r="AA197">
        <f t="shared" si="6"/>
        <v>160</v>
      </c>
      <c r="AB197">
        <f t="shared" si="7"/>
        <v>4</v>
      </c>
      <c r="AC197">
        <f>AB197/1000*一般構造素材物性!$I$37</f>
        <v>7.4999999999999997E-3</v>
      </c>
      <c r="AD197">
        <f>AA197/1000*0.001*一般構造素材物性!$H$19</f>
        <v>1.4400000000000001E-2</v>
      </c>
      <c r="AF197">
        <f t="shared" si="8"/>
        <v>4.1172000000000004</v>
      </c>
    </row>
    <row r="198" spans="17:32">
      <c r="Q198">
        <v>189</v>
      </c>
      <c r="R198">
        <v>-20</v>
      </c>
      <c r="S198">
        <v>20</v>
      </c>
      <c r="T198">
        <v>20</v>
      </c>
      <c r="U198">
        <v>20</v>
      </c>
      <c r="V198">
        <v>20</v>
      </c>
      <c r="W198">
        <v>-20</v>
      </c>
      <c r="X198">
        <v>-20</v>
      </c>
      <c r="Y198">
        <v>-20</v>
      </c>
      <c r="AA198">
        <f t="shared" si="6"/>
        <v>160</v>
      </c>
      <c r="AB198">
        <f t="shared" si="7"/>
        <v>4</v>
      </c>
      <c r="AC198">
        <f>AB198/1000*一般構造素材物性!$I$37</f>
        <v>7.4999999999999997E-3</v>
      </c>
      <c r="AD198">
        <f>AA198/1000*0.001*一般構造素材物性!$H$19</f>
        <v>1.4400000000000001E-2</v>
      </c>
      <c r="AF198">
        <f t="shared" si="8"/>
        <v>4.1391000000000009</v>
      </c>
    </row>
    <row r="199" spans="17:32">
      <c r="Q199">
        <v>190</v>
      </c>
      <c r="R199">
        <v>-20</v>
      </c>
      <c r="S199">
        <v>20</v>
      </c>
      <c r="T199">
        <v>20</v>
      </c>
      <c r="U199">
        <v>20</v>
      </c>
      <c r="V199">
        <v>20</v>
      </c>
      <c r="W199">
        <v>-20</v>
      </c>
      <c r="X199">
        <v>-20</v>
      </c>
      <c r="Y199">
        <v>-20</v>
      </c>
      <c r="AA199">
        <f t="shared" si="6"/>
        <v>160</v>
      </c>
      <c r="AB199">
        <f t="shared" si="7"/>
        <v>4</v>
      </c>
      <c r="AC199">
        <f>AB199/1000*一般構造素材物性!$I$37</f>
        <v>7.4999999999999997E-3</v>
      </c>
      <c r="AD199">
        <f>AA199/1000*0.001*一般構造素材物性!$H$19</f>
        <v>1.4400000000000001E-2</v>
      </c>
      <c r="AF199">
        <f t="shared" si="8"/>
        <v>4.1610000000000005</v>
      </c>
    </row>
    <row r="200" spans="17:32">
      <c r="Q200">
        <v>191</v>
      </c>
      <c r="R200">
        <v>-20</v>
      </c>
      <c r="S200">
        <v>20</v>
      </c>
      <c r="T200">
        <v>20</v>
      </c>
      <c r="U200">
        <v>20</v>
      </c>
      <c r="V200">
        <v>20</v>
      </c>
      <c r="W200">
        <v>-20</v>
      </c>
      <c r="X200">
        <v>-20</v>
      </c>
      <c r="Y200">
        <v>-20</v>
      </c>
      <c r="AA200">
        <f t="shared" si="6"/>
        <v>160</v>
      </c>
      <c r="AB200">
        <f t="shared" si="7"/>
        <v>4</v>
      </c>
      <c r="AC200">
        <f>AB200/1000*一般構造素材物性!$I$37</f>
        <v>7.4999999999999997E-3</v>
      </c>
      <c r="AD200">
        <f>AA200/1000*0.001*一般構造素材物性!$H$19</f>
        <v>1.4400000000000001E-2</v>
      </c>
      <c r="AF200">
        <f t="shared" si="8"/>
        <v>4.182900000000001</v>
      </c>
    </row>
    <row r="201" spans="17:32">
      <c r="Q201">
        <v>192</v>
      </c>
      <c r="R201">
        <v>-20</v>
      </c>
      <c r="S201">
        <v>20</v>
      </c>
      <c r="T201">
        <v>20</v>
      </c>
      <c r="U201">
        <v>20</v>
      </c>
      <c r="V201">
        <v>20</v>
      </c>
      <c r="W201">
        <v>-20</v>
      </c>
      <c r="X201">
        <v>-20</v>
      </c>
      <c r="Y201">
        <v>-20</v>
      </c>
      <c r="AA201">
        <f t="shared" si="6"/>
        <v>160</v>
      </c>
      <c r="AB201">
        <f t="shared" si="7"/>
        <v>4</v>
      </c>
      <c r="AC201">
        <f>AB201/1000*一般構造素材物性!$I$37</f>
        <v>7.4999999999999997E-3</v>
      </c>
      <c r="AD201">
        <f>AA201/1000*0.001*一般構造素材物性!$H$19</f>
        <v>1.4400000000000001E-2</v>
      </c>
      <c r="AF201">
        <f t="shared" si="8"/>
        <v>4.2048000000000005</v>
      </c>
    </row>
    <row r="202" spans="17:32">
      <c r="Q202">
        <v>193</v>
      </c>
      <c r="R202">
        <v>-20</v>
      </c>
      <c r="S202">
        <v>20</v>
      </c>
      <c r="T202">
        <v>20</v>
      </c>
      <c r="U202">
        <v>20</v>
      </c>
      <c r="V202">
        <v>20</v>
      </c>
      <c r="W202">
        <v>-20</v>
      </c>
      <c r="X202">
        <v>-20</v>
      </c>
      <c r="Y202">
        <v>-20</v>
      </c>
      <c r="AA202">
        <f t="shared" ref="AA202:AA265" si="9">SQRT((T202-R202)^2+(U202-S202)^2)+SQRT((V202-T202)^2+(W202-U202)^2)+SQRT((X202-V202)^2+(Y202-W202)^2)+SQRT((R202-X202)^2+(S202-Y202)^2)</f>
        <v>160</v>
      </c>
      <c r="AB202">
        <f t="shared" ref="AB202:AB265" si="10">SQRT((R203-R202)^2+(S203-S202)^2+1^2)+SQRT((T203-T202)^2+(U203-U202)^2+1^2)+SQRT((V203-V202)^2+(W203-W202)^2+1^2)+SQRT((X203-X202)^2+(Y203-Y202)^2+1^2)</f>
        <v>4</v>
      </c>
      <c r="AC202">
        <f>AB202/1000*一般構造素材物性!$I$37</f>
        <v>7.4999999999999997E-3</v>
      </c>
      <c r="AD202">
        <f>AA202/1000*0.001*一般構造素材物性!$H$19</f>
        <v>1.4400000000000001E-2</v>
      </c>
      <c r="AF202">
        <f t="shared" ref="AF202:AF265" si="11">(AC202+AD202)*(Q202-$Q$9)</f>
        <v>4.2267000000000001</v>
      </c>
    </row>
    <row r="203" spans="17:32">
      <c r="Q203">
        <v>194</v>
      </c>
      <c r="R203">
        <v>-20</v>
      </c>
      <c r="S203">
        <v>20</v>
      </c>
      <c r="T203">
        <v>20</v>
      </c>
      <c r="U203">
        <v>20</v>
      </c>
      <c r="V203">
        <v>20</v>
      </c>
      <c r="W203">
        <v>-20</v>
      </c>
      <c r="X203">
        <v>-20</v>
      </c>
      <c r="Y203">
        <v>-20</v>
      </c>
      <c r="AA203">
        <f t="shared" si="9"/>
        <v>160</v>
      </c>
      <c r="AB203">
        <f t="shared" si="10"/>
        <v>4</v>
      </c>
      <c r="AC203">
        <f>AB203/1000*一般構造素材物性!$I$37</f>
        <v>7.4999999999999997E-3</v>
      </c>
      <c r="AD203">
        <f>AA203/1000*0.001*一般構造素材物性!$H$19</f>
        <v>1.4400000000000001E-2</v>
      </c>
      <c r="AF203">
        <f t="shared" si="11"/>
        <v>4.2486000000000006</v>
      </c>
    </row>
    <row r="204" spans="17:32">
      <c r="Q204">
        <v>195</v>
      </c>
      <c r="R204">
        <v>-20</v>
      </c>
      <c r="S204">
        <v>20</v>
      </c>
      <c r="T204">
        <v>20</v>
      </c>
      <c r="U204">
        <v>20</v>
      </c>
      <c r="V204">
        <v>20</v>
      </c>
      <c r="W204">
        <v>-20</v>
      </c>
      <c r="X204">
        <v>-20</v>
      </c>
      <c r="Y204">
        <v>-20</v>
      </c>
      <c r="AA204">
        <f t="shared" si="9"/>
        <v>160</v>
      </c>
      <c r="AB204">
        <f t="shared" si="10"/>
        <v>4</v>
      </c>
      <c r="AC204">
        <f>AB204/1000*一般構造素材物性!$I$37</f>
        <v>7.4999999999999997E-3</v>
      </c>
      <c r="AD204">
        <f>AA204/1000*0.001*一般構造素材物性!$H$19</f>
        <v>1.4400000000000001E-2</v>
      </c>
      <c r="AF204">
        <f t="shared" si="11"/>
        <v>4.2705000000000002</v>
      </c>
    </row>
    <row r="205" spans="17:32">
      <c r="Q205">
        <v>196</v>
      </c>
      <c r="R205">
        <v>-20</v>
      </c>
      <c r="S205">
        <v>20</v>
      </c>
      <c r="T205">
        <v>20</v>
      </c>
      <c r="U205">
        <v>20</v>
      </c>
      <c r="V205">
        <v>20</v>
      </c>
      <c r="W205">
        <v>-20</v>
      </c>
      <c r="X205">
        <v>-20</v>
      </c>
      <c r="Y205">
        <v>-20</v>
      </c>
      <c r="AA205">
        <f t="shared" si="9"/>
        <v>160</v>
      </c>
      <c r="AB205">
        <f t="shared" si="10"/>
        <v>4</v>
      </c>
      <c r="AC205">
        <f>AB205/1000*一般構造素材物性!$I$37</f>
        <v>7.4999999999999997E-3</v>
      </c>
      <c r="AD205">
        <f>AA205/1000*0.001*一般構造素材物性!$H$19</f>
        <v>1.4400000000000001E-2</v>
      </c>
      <c r="AF205">
        <f t="shared" si="11"/>
        <v>4.2924000000000007</v>
      </c>
    </row>
    <row r="206" spans="17:32">
      <c r="Q206">
        <v>197</v>
      </c>
      <c r="R206">
        <v>-20</v>
      </c>
      <c r="S206">
        <v>20</v>
      </c>
      <c r="T206">
        <v>20</v>
      </c>
      <c r="U206">
        <v>20</v>
      </c>
      <c r="V206">
        <v>20</v>
      </c>
      <c r="W206">
        <v>-20</v>
      </c>
      <c r="X206">
        <v>-20</v>
      </c>
      <c r="Y206">
        <v>-20</v>
      </c>
      <c r="AA206">
        <f t="shared" si="9"/>
        <v>160</v>
      </c>
      <c r="AB206">
        <f t="shared" si="10"/>
        <v>4</v>
      </c>
      <c r="AC206">
        <f>AB206/1000*一般構造素材物性!$I$37</f>
        <v>7.4999999999999997E-3</v>
      </c>
      <c r="AD206">
        <f>AA206/1000*0.001*一般構造素材物性!$H$19</f>
        <v>1.4400000000000001E-2</v>
      </c>
      <c r="AF206">
        <f t="shared" si="11"/>
        <v>4.3143000000000002</v>
      </c>
    </row>
    <row r="207" spans="17:32">
      <c r="Q207">
        <v>198</v>
      </c>
      <c r="R207">
        <v>-20</v>
      </c>
      <c r="S207">
        <v>20</v>
      </c>
      <c r="T207">
        <v>20</v>
      </c>
      <c r="U207">
        <v>20</v>
      </c>
      <c r="V207">
        <v>20</v>
      </c>
      <c r="W207">
        <v>-20</v>
      </c>
      <c r="X207">
        <v>-20</v>
      </c>
      <c r="Y207">
        <v>-20</v>
      </c>
      <c r="AA207">
        <f t="shared" si="9"/>
        <v>160</v>
      </c>
      <c r="AB207">
        <f t="shared" si="10"/>
        <v>4</v>
      </c>
      <c r="AC207">
        <f>AB207/1000*一般構造素材物性!$I$37</f>
        <v>7.4999999999999997E-3</v>
      </c>
      <c r="AD207">
        <f>AA207/1000*0.001*一般構造素材物性!$H$19</f>
        <v>1.4400000000000001E-2</v>
      </c>
      <c r="AF207">
        <f t="shared" si="11"/>
        <v>4.3362000000000007</v>
      </c>
    </row>
    <row r="208" spans="17:32">
      <c r="Q208">
        <v>199</v>
      </c>
      <c r="R208">
        <v>-20</v>
      </c>
      <c r="S208">
        <v>20</v>
      </c>
      <c r="T208">
        <v>20</v>
      </c>
      <c r="U208">
        <v>20</v>
      </c>
      <c r="V208">
        <v>20</v>
      </c>
      <c r="W208">
        <v>-20</v>
      </c>
      <c r="X208">
        <v>-20</v>
      </c>
      <c r="Y208">
        <v>-20</v>
      </c>
      <c r="AA208">
        <f t="shared" si="9"/>
        <v>160</v>
      </c>
      <c r="AB208">
        <f t="shared" si="10"/>
        <v>4</v>
      </c>
      <c r="AC208">
        <f>AB208/1000*一般構造素材物性!$I$37</f>
        <v>7.4999999999999997E-3</v>
      </c>
      <c r="AD208">
        <f>AA208/1000*0.001*一般構造素材物性!$H$19</f>
        <v>1.4400000000000001E-2</v>
      </c>
      <c r="AF208">
        <f t="shared" si="11"/>
        <v>4.3581000000000003</v>
      </c>
    </row>
    <row r="209" spans="17:32">
      <c r="Q209">
        <v>200</v>
      </c>
      <c r="R209">
        <v>-20</v>
      </c>
      <c r="S209">
        <v>20</v>
      </c>
      <c r="T209">
        <v>20</v>
      </c>
      <c r="U209">
        <v>20</v>
      </c>
      <c r="V209">
        <v>20</v>
      </c>
      <c r="W209">
        <v>-20</v>
      </c>
      <c r="X209">
        <v>-20</v>
      </c>
      <c r="Y209">
        <v>-20</v>
      </c>
      <c r="AA209">
        <f t="shared" si="9"/>
        <v>160</v>
      </c>
      <c r="AB209">
        <f t="shared" si="10"/>
        <v>4.0593652774160951</v>
      </c>
      <c r="AC209">
        <f>AB209/1000*一般構造素材物性!$I$37</f>
        <v>7.6113098951551784E-3</v>
      </c>
      <c r="AD209">
        <f>AA209/1000*0.001*一般構造素材物性!$H$19</f>
        <v>1.4400000000000001E-2</v>
      </c>
      <c r="AF209">
        <f t="shared" si="11"/>
        <v>4.402261979031036</v>
      </c>
    </row>
    <row r="210" spans="17:32">
      <c r="Q210">
        <v>201</v>
      </c>
      <c r="R210">
        <v>-19.900000000000002</v>
      </c>
      <c r="S210">
        <v>20</v>
      </c>
      <c r="T210">
        <v>19.900000000000002</v>
      </c>
      <c r="U210">
        <v>20</v>
      </c>
      <c r="V210">
        <v>19.900000000000002</v>
      </c>
      <c r="W210">
        <v>-19.800000000000004</v>
      </c>
      <c r="X210">
        <v>-19.900000000000002</v>
      </c>
      <c r="Y210">
        <v>-19.800000000000004</v>
      </c>
      <c r="AA210">
        <f t="shared" si="9"/>
        <v>159.20000000000002</v>
      </c>
      <c r="AB210">
        <f t="shared" si="10"/>
        <v>4.0593652774160995</v>
      </c>
      <c r="AC210">
        <f>AB210/1000*一般構造素材物性!$I$37</f>
        <v>7.6113098951551862E-3</v>
      </c>
      <c r="AD210">
        <f>AA210/1000*0.001*一般構造素材物性!$H$19</f>
        <v>1.4328000000000002E-2</v>
      </c>
      <c r="AF210">
        <f t="shared" si="11"/>
        <v>4.4098012889261931</v>
      </c>
    </row>
    <row r="211" spans="17:32">
      <c r="Q211">
        <v>202</v>
      </c>
      <c r="R211">
        <v>-19.8</v>
      </c>
      <c r="S211">
        <v>20</v>
      </c>
      <c r="T211">
        <v>19.8</v>
      </c>
      <c r="U211">
        <v>20</v>
      </c>
      <c r="V211">
        <v>19.8</v>
      </c>
      <c r="W211">
        <v>-19.600000000000001</v>
      </c>
      <c r="X211">
        <v>-19.8</v>
      </c>
      <c r="Y211">
        <v>-19.600000000000001</v>
      </c>
      <c r="AA211">
        <f t="shared" si="9"/>
        <v>158.4</v>
      </c>
      <c r="AB211">
        <f t="shared" si="10"/>
        <v>4.059365277416096</v>
      </c>
      <c r="AC211">
        <f>AB211/1000*一般構造素材物性!$I$37</f>
        <v>7.6113098951551793E-3</v>
      </c>
      <c r="AD211">
        <f>AA211/1000*0.001*一般構造素材物性!$H$19</f>
        <v>1.4256000000000003E-2</v>
      </c>
      <c r="AF211">
        <f t="shared" si="11"/>
        <v>4.4171965988213469</v>
      </c>
    </row>
    <row r="212" spans="17:32">
      <c r="Q212">
        <v>203</v>
      </c>
      <c r="R212">
        <v>-19.700000000000003</v>
      </c>
      <c r="S212">
        <v>20</v>
      </c>
      <c r="T212">
        <v>19.700000000000003</v>
      </c>
      <c r="U212">
        <v>20</v>
      </c>
      <c r="V212">
        <v>19.700000000000003</v>
      </c>
      <c r="W212">
        <v>-19.400000000000002</v>
      </c>
      <c r="X212">
        <v>-19.700000000000003</v>
      </c>
      <c r="Y212">
        <v>-19.400000000000002</v>
      </c>
      <c r="AA212">
        <f t="shared" si="9"/>
        <v>157.60000000000002</v>
      </c>
      <c r="AB212">
        <f t="shared" si="10"/>
        <v>4.0593652774160986</v>
      </c>
      <c r="AC212">
        <f>AB212/1000*一般構造素材物性!$I$37</f>
        <v>7.6113098951551845E-3</v>
      </c>
      <c r="AD212">
        <f>AA212/1000*0.001*一般構造素材物性!$H$19</f>
        <v>1.4184E-2</v>
      </c>
      <c r="AF212">
        <f t="shared" si="11"/>
        <v>4.4244479087165027</v>
      </c>
    </row>
    <row r="213" spans="17:32">
      <c r="Q213">
        <v>204</v>
      </c>
      <c r="R213">
        <v>-19.600000000000001</v>
      </c>
      <c r="S213">
        <v>20</v>
      </c>
      <c r="T213">
        <v>19.600000000000001</v>
      </c>
      <c r="U213">
        <v>20</v>
      </c>
      <c r="V213">
        <v>19.600000000000001</v>
      </c>
      <c r="W213">
        <v>-19.200000000000003</v>
      </c>
      <c r="X213">
        <v>-19.600000000000001</v>
      </c>
      <c r="Y213">
        <v>-19.200000000000003</v>
      </c>
      <c r="AA213">
        <f t="shared" si="9"/>
        <v>156.80000000000001</v>
      </c>
      <c r="AB213">
        <f t="shared" si="10"/>
        <v>4.0593652774160986</v>
      </c>
      <c r="AC213">
        <f>AB213/1000*一般構造素材物性!$I$37</f>
        <v>7.6113098951551845E-3</v>
      </c>
      <c r="AD213">
        <f>AA213/1000*0.001*一般構造素材物性!$H$19</f>
        <v>1.4112000000000001E-2</v>
      </c>
      <c r="AF213">
        <f t="shared" si="11"/>
        <v>4.431555218611658</v>
      </c>
    </row>
    <row r="214" spans="17:32">
      <c r="Q214">
        <v>205</v>
      </c>
      <c r="R214">
        <v>-19.5</v>
      </c>
      <c r="S214">
        <v>20</v>
      </c>
      <c r="T214">
        <v>19.5</v>
      </c>
      <c r="U214">
        <v>20</v>
      </c>
      <c r="V214">
        <v>19.5</v>
      </c>
      <c r="W214">
        <v>-19.000000000000004</v>
      </c>
      <c r="X214">
        <v>-19.5</v>
      </c>
      <c r="Y214">
        <v>-19.000000000000004</v>
      </c>
      <c r="AA214">
        <f t="shared" si="9"/>
        <v>156</v>
      </c>
      <c r="AB214">
        <f t="shared" si="10"/>
        <v>4.059365277416096</v>
      </c>
      <c r="AC214">
        <f>AB214/1000*一般構造素材物性!$I$37</f>
        <v>7.6113098951551793E-3</v>
      </c>
      <c r="AD214">
        <f>AA214/1000*0.001*一般構造素材物性!$H$19</f>
        <v>1.404E-2</v>
      </c>
      <c r="AF214">
        <f t="shared" si="11"/>
        <v>4.4385185285068118</v>
      </c>
    </row>
    <row r="215" spans="17:32">
      <c r="Q215">
        <v>206</v>
      </c>
      <c r="R215">
        <v>-19.400000000000002</v>
      </c>
      <c r="S215">
        <v>20</v>
      </c>
      <c r="T215">
        <v>19.400000000000002</v>
      </c>
      <c r="U215">
        <v>20</v>
      </c>
      <c r="V215">
        <v>19.400000000000002</v>
      </c>
      <c r="W215">
        <v>-18.800000000000004</v>
      </c>
      <c r="X215">
        <v>-19.400000000000002</v>
      </c>
      <c r="Y215">
        <v>-18.800000000000004</v>
      </c>
      <c r="AA215">
        <f t="shared" si="9"/>
        <v>155.20000000000002</v>
      </c>
      <c r="AB215">
        <f t="shared" si="10"/>
        <v>4.0593652774160995</v>
      </c>
      <c r="AC215">
        <f>AB215/1000*一般構造素材物性!$I$37</f>
        <v>7.6113098951551862E-3</v>
      </c>
      <c r="AD215">
        <f>AA215/1000*0.001*一般構造素材物性!$H$19</f>
        <v>1.3968000000000001E-2</v>
      </c>
      <c r="AF215">
        <f t="shared" si="11"/>
        <v>4.4453378384019686</v>
      </c>
    </row>
    <row r="216" spans="17:32">
      <c r="Q216">
        <v>207</v>
      </c>
      <c r="R216">
        <v>-19.3</v>
      </c>
      <c r="S216">
        <v>20</v>
      </c>
      <c r="T216">
        <v>19.3</v>
      </c>
      <c r="U216">
        <v>20</v>
      </c>
      <c r="V216">
        <v>19.3</v>
      </c>
      <c r="W216">
        <v>-18.600000000000001</v>
      </c>
      <c r="X216">
        <v>-19.3</v>
      </c>
      <c r="Y216">
        <v>-18.600000000000001</v>
      </c>
      <c r="AA216">
        <f t="shared" si="9"/>
        <v>154.4</v>
      </c>
      <c r="AB216">
        <f t="shared" si="10"/>
        <v>4.059365277416096</v>
      </c>
      <c r="AC216">
        <f>AB216/1000*一般構造素材物性!$I$37</f>
        <v>7.6113098951551793E-3</v>
      </c>
      <c r="AD216">
        <f>AA216/1000*0.001*一般構造素材物性!$H$19</f>
        <v>1.3896E-2</v>
      </c>
      <c r="AF216">
        <f t="shared" si="11"/>
        <v>4.4520131482971221</v>
      </c>
    </row>
    <row r="217" spans="17:32">
      <c r="Q217">
        <v>208</v>
      </c>
      <c r="R217">
        <v>-19.200000000000003</v>
      </c>
      <c r="S217">
        <v>20</v>
      </c>
      <c r="T217">
        <v>19.200000000000003</v>
      </c>
      <c r="U217">
        <v>20</v>
      </c>
      <c r="V217">
        <v>19.200000000000003</v>
      </c>
      <c r="W217">
        <v>-18.400000000000002</v>
      </c>
      <c r="X217">
        <v>-19.200000000000003</v>
      </c>
      <c r="Y217">
        <v>-18.400000000000002</v>
      </c>
      <c r="AA217">
        <f t="shared" si="9"/>
        <v>153.60000000000002</v>
      </c>
      <c r="AB217">
        <f t="shared" si="10"/>
        <v>4.0593652774160986</v>
      </c>
      <c r="AC217">
        <f>AB217/1000*一般構造素材物性!$I$37</f>
        <v>7.6113098951551845E-3</v>
      </c>
      <c r="AD217">
        <f>AA217/1000*0.001*一般構造素材物性!$H$19</f>
        <v>1.3824000000000001E-2</v>
      </c>
      <c r="AF217">
        <f t="shared" si="11"/>
        <v>4.4585444581922786</v>
      </c>
    </row>
    <row r="218" spans="17:32">
      <c r="Q218">
        <v>209</v>
      </c>
      <c r="R218">
        <v>-19.100000000000001</v>
      </c>
      <c r="S218">
        <v>20</v>
      </c>
      <c r="T218">
        <v>19.100000000000001</v>
      </c>
      <c r="U218">
        <v>20</v>
      </c>
      <c r="V218">
        <v>19.100000000000001</v>
      </c>
      <c r="W218">
        <v>-18.200000000000003</v>
      </c>
      <c r="X218">
        <v>-19.100000000000001</v>
      </c>
      <c r="Y218">
        <v>-18.200000000000003</v>
      </c>
      <c r="AA218">
        <f t="shared" si="9"/>
        <v>152.80000000000001</v>
      </c>
      <c r="AB218">
        <f t="shared" si="10"/>
        <v>4.0593652774160986</v>
      </c>
      <c r="AC218">
        <f>AB218/1000*一般構造素材物性!$I$37</f>
        <v>7.6113098951551845E-3</v>
      </c>
      <c r="AD218">
        <f>AA218/1000*0.001*一般構造素材物性!$H$19</f>
        <v>1.3752000000000002E-2</v>
      </c>
      <c r="AF218">
        <f t="shared" si="11"/>
        <v>4.4649317680874336</v>
      </c>
    </row>
    <row r="219" spans="17:32">
      <c r="Q219">
        <v>210</v>
      </c>
      <c r="R219">
        <v>-19</v>
      </c>
      <c r="S219">
        <v>20</v>
      </c>
      <c r="T219">
        <v>19</v>
      </c>
      <c r="U219">
        <v>20</v>
      </c>
      <c r="V219">
        <v>19</v>
      </c>
      <c r="W219">
        <v>-18.000000000000004</v>
      </c>
      <c r="X219">
        <v>-19</v>
      </c>
      <c r="Y219">
        <v>-18.000000000000004</v>
      </c>
      <c r="AA219">
        <f t="shared" si="9"/>
        <v>152</v>
      </c>
      <c r="AB219">
        <f t="shared" si="10"/>
        <v>4.059365277416096</v>
      </c>
      <c r="AC219">
        <f>AB219/1000*一般構造素材物性!$I$37</f>
        <v>7.6113098951551793E-3</v>
      </c>
      <c r="AD219">
        <f>AA219/1000*0.001*一般構造素材物性!$H$19</f>
        <v>1.3680000000000001E-2</v>
      </c>
      <c r="AF219">
        <f t="shared" si="11"/>
        <v>4.4711750779825881</v>
      </c>
    </row>
    <row r="220" spans="17:32">
      <c r="Q220">
        <v>211</v>
      </c>
      <c r="R220">
        <v>-18.900000000000002</v>
      </c>
      <c r="S220">
        <v>20</v>
      </c>
      <c r="T220">
        <v>18.900000000000002</v>
      </c>
      <c r="U220">
        <v>20</v>
      </c>
      <c r="V220">
        <v>18.900000000000002</v>
      </c>
      <c r="W220">
        <v>-17.800000000000004</v>
      </c>
      <c r="X220">
        <v>-18.900000000000002</v>
      </c>
      <c r="Y220">
        <v>-17.800000000000004</v>
      </c>
      <c r="AA220">
        <f t="shared" si="9"/>
        <v>151.20000000000002</v>
      </c>
      <c r="AB220">
        <f t="shared" si="10"/>
        <v>4.0593652774160995</v>
      </c>
      <c r="AC220">
        <f>AB220/1000*一般構造素材物性!$I$37</f>
        <v>7.6113098951551862E-3</v>
      </c>
      <c r="AD220">
        <f>AA220/1000*0.001*一般構造素材物性!$H$19</f>
        <v>1.3608000000000004E-2</v>
      </c>
      <c r="AF220">
        <f t="shared" si="11"/>
        <v>4.4772743878777455</v>
      </c>
    </row>
    <row r="221" spans="17:32">
      <c r="Q221">
        <v>212</v>
      </c>
      <c r="R221">
        <v>-18.8</v>
      </c>
      <c r="S221">
        <v>20</v>
      </c>
      <c r="T221">
        <v>18.8</v>
      </c>
      <c r="U221">
        <v>20</v>
      </c>
      <c r="V221">
        <v>18.8</v>
      </c>
      <c r="W221">
        <v>-17.600000000000001</v>
      </c>
      <c r="X221">
        <v>-18.8</v>
      </c>
      <c r="Y221">
        <v>-17.600000000000001</v>
      </c>
      <c r="AA221">
        <f t="shared" si="9"/>
        <v>150.4</v>
      </c>
      <c r="AB221">
        <f t="shared" si="10"/>
        <v>4.059365277416096</v>
      </c>
      <c r="AC221">
        <f>AB221/1000*一般構造素材物性!$I$37</f>
        <v>7.6113098951551793E-3</v>
      </c>
      <c r="AD221">
        <f>AA221/1000*0.001*一般構造素材物性!$H$19</f>
        <v>1.3535999999999999E-2</v>
      </c>
      <c r="AF221">
        <f t="shared" si="11"/>
        <v>4.4832296977728978</v>
      </c>
    </row>
    <row r="222" spans="17:32">
      <c r="Q222">
        <v>213</v>
      </c>
      <c r="R222">
        <v>-18.700000000000003</v>
      </c>
      <c r="S222">
        <v>20</v>
      </c>
      <c r="T222">
        <v>18.700000000000003</v>
      </c>
      <c r="U222">
        <v>20</v>
      </c>
      <c r="V222">
        <v>18.700000000000003</v>
      </c>
      <c r="W222">
        <v>-17.400000000000002</v>
      </c>
      <c r="X222">
        <v>-18.700000000000003</v>
      </c>
      <c r="Y222">
        <v>-17.400000000000002</v>
      </c>
      <c r="AA222">
        <f t="shared" si="9"/>
        <v>149.60000000000002</v>
      </c>
      <c r="AB222">
        <f t="shared" si="10"/>
        <v>4.0593652774160986</v>
      </c>
      <c r="AC222">
        <f>AB222/1000*一般構造素材物性!$I$37</f>
        <v>7.6113098951551845E-3</v>
      </c>
      <c r="AD222">
        <f>AA222/1000*0.001*一般構造素材物性!$H$19</f>
        <v>1.3464E-2</v>
      </c>
      <c r="AF222">
        <f t="shared" si="11"/>
        <v>4.4890410076680549</v>
      </c>
    </row>
    <row r="223" spans="17:32">
      <c r="Q223">
        <v>214</v>
      </c>
      <c r="R223">
        <v>-18.600000000000001</v>
      </c>
      <c r="S223">
        <v>20</v>
      </c>
      <c r="T223">
        <v>18.600000000000001</v>
      </c>
      <c r="U223">
        <v>20</v>
      </c>
      <c r="V223">
        <v>18.600000000000001</v>
      </c>
      <c r="W223">
        <v>-17.200000000000003</v>
      </c>
      <c r="X223">
        <v>-18.600000000000001</v>
      </c>
      <c r="Y223">
        <v>-17.200000000000003</v>
      </c>
      <c r="AA223">
        <f t="shared" si="9"/>
        <v>148.80000000000001</v>
      </c>
      <c r="AB223">
        <f t="shared" si="10"/>
        <v>4.0593652774160986</v>
      </c>
      <c r="AC223">
        <f>AB223/1000*一般構造素材物性!$I$37</f>
        <v>7.6113098951551845E-3</v>
      </c>
      <c r="AD223">
        <f>AA223/1000*0.001*一般構造素材物性!$H$19</f>
        <v>1.3392000000000001E-2</v>
      </c>
      <c r="AF223">
        <f t="shared" si="11"/>
        <v>4.4947083175632097</v>
      </c>
    </row>
    <row r="224" spans="17:32">
      <c r="Q224">
        <v>215</v>
      </c>
      <c r="R224">
        <v>-18.5</v>
      </c>
      <c r="S224">
        <v>20</v>
      </c>
      <c r="T224">
        <v>18.5</v>
      </c>
      <c r="U224">
        <v>20</v>
      </c>
      <c r="V224">
        <v>18.5</v>
      </c>
      <c r="W224">
        <v>-17.000000000000004</v>
      </c>
      <c r="X224">
        <v>-18.5</v>
      </c>
      <c r="Y224">
        <v>-17.000000000000004</v>
      </c>
      <c r="AA224">
        <f t="shared" si="9"/>
        <v>148</v>
      </c>
      <c r="AB224">
        <f t="shared" si="10"/>
        <v>4.059365277416096</v>
      </c>
      <c r="AC224">
        <f>AB224/1000*一般構造素材物性!$I$37</f>
        <v>7.6113098951551793E-3</v>
      </c>
      <c r="AD224">
        <f>AA224/1000*0.001*一般構造素材物性!$H$19</f>
        <v>1.3319999999999999E-2</v>
      </c>
      <c r="AF224">
        <f t="shared" si="11"/>
        <v>4.5002316274583629</v>
      </c>
    </row>
    <row r="225" spans="17:32">
      <c r="Q225">
        <v>216</v>
      </c>
      <c r="R225">
        <v>-18.400000000000002</v>
      </c>
      <c r="S225">
        <v>20</v>
      </c>
      <c r="T225">
        <v>18.400000000000002</v>
      </c>
      <c r="U225">
        <v>20</v>
      </c>
      <c r="V225">
        <v>18.400000000000002</v>
      </c>
      <c r="W225">
        <v>-16.800000000000004</v>
      </c>
      <c r="X225">
        <v>-18.400000000000002</v>
      </c>
      <c r="Y225">
        <v>-16.800000000000004</v>
      </c>
      <c r="AA225">
        <f t="shared" si="9"/>
        <v>147.20000000000002</v>
      </c>
      <c r="AB225">
        <f t="shared" si="10"/>
        <v>4.0593652774160995</v>
      </c>
      <c r="AC225">
        <f>AB225/1000*一般構造素材物性!$I$37</f>
        <v>7.6113098951551862E-3</v>
      </c>
      <c r="AD225">
        <f>AA225/1000*0.001*一般構造素材物性!$H$19</f>
        <v>1.3248000000000003E-2</v>
      </c>
      <c r="AF225">
        <f t="shared" si="11"/>
        <v>4.5056109373535209</v>
      </c>
    </row>
    <row r="226" spans="17:32">
      <c r="Q226">
        <v>217</v>
      </c>
      <c r="R226">
        <v>-18.3</v>
      </c>
      <c r="S226">
        <v>20</v>
      </c>
      <c r="T226">
        <v>18.3</v>
      </c>
      <c r="U226">
        <v>20</v>
      </c>
      <c r="V226">
        <v>18.3</v>
      </c>
      <c r="W226">
        <v>-16.600000000000001</v>
      </c>
      <c r="X226">
        <v>-18.3</v>
      </c>
      <c r="Y226">
        <v>-16.600000000000001</v>
      </c>
      <c r="AA226">
        <f t="shared" si="9"/>
        <v>146.4</v>
      </c>
      <c r="AB226">
        <f t="shared" si="10"/>
        <v>4.059365277416096</v>
      </c>
      <c r="AC226">
        <f>AB226/1000*一般構造素材物性!$I$37</f>
        <v>7.6113098951551793E-3</v>
      </c>
      <c r="AD226">
        <f>AA226/1000*0.001*一般構造素材物性!$H$19</f>
        <v>1.3176E-2</v>
      </c>
      <c r="AF226">
        <f t="shared" si="11"/>
        <v>4.5108462472486739</v>
      </c>
    </row>
    <row r="227" spans="17:32">
      <c r="Q227">
        <v>218</v>
      </c>
      <c r="R227">
        <v>-18.200000000000003</v>
      </c>
      <c r="S227">
        <v>20</v>
      </c>
      <c r="T227">
        <v>18.200000000000003</v>
      </c>
      <c r="U227">
        <v>20</v>
      </c>
      <c r="V227">
        <v>18.200000000000003</v>
      </c>
      <c r="W227">
        <v>-16.400000000000002</v>
      </c>
      <c r="X227">
        <v>-18.200000000000003</v>
      </c>
      <c r="Y227">
        <v>-16.400000000000002</v>
      </c>
      <c r="AA227">
        <f t="shared" si="9"/>
        <v>145.60000000000002</v>
      </c>
      <c r="AB227">
        <f t="shared" si="10"/>
        <v>4.0593652774160986</v>
      </c>
      <c r="AC227">
        <f>AB227/1000*一般構造素材物性!$I$37</f>
        <v>7.6113098951551845E-3</v>
      </c>
      <c r="AD227">
        <f>AA227/1000*0.001*一般構造素材物性!$H$19</f>
        <v>1.3104000000000005E-2</v>
      </c>
      <c r="AF227">
        <f t="shared" si="11"/>
        <v>4.5159375571438307</v>
      </c>
    </row>
    <row r="228" spans="17:32">
      <c r="Q228">
        <v>219</v>
      </c>
      <c r="R228">
        <v>-18.100000000000001</v>
      </c>
      <c r="S228">
        <v>20</v>
      </c>
      <c r="T228">
        <v>18.100000000000001</v>
      </c>
      <c r="U228">
        <v>20</v>
      </c>
      <c r="V228">
        <v>18.100000000000001</v>
      </c>
      <c r="W228">
        <v>-16.200000000000003</v>
      </c>
      <c r="X228">
        <v>-18.100000000000001</v>
      </c>
      <c r="Y228">
        <v>-16.200000000000003</v>
      </c>
      <c r="AA228">
        <f t="shared" si="9"/>
        <v>144.80000000000001</v>
      </c>
      <c r="AB228">
        <f t="shared" si="10"/>
        <v>4.0593652774160986</v>
      </c>
      <c r="AC228">
        <f>AB228/1000*一般構造素材物性!$I$37</f>
        <v>7.6113098951551845E-3</v>
      </c>
      <c r="AD228">
        <f>AA228/1000*0.001*一般構造素材物性!$H$19</f>
        <v>1.3032000000000002E-2</v>
      </c>
      <c r="AF228">
        <f t="shared" si="11"/>
        <v>4.5208848670389852</v>
      </c>
    </row>
    <row r="229" spans="17:32">
      <c r="Q229">
        <v>220</v>
      </c>
      <c r="R229">
        <v>-18</v>
      </c>
      <c r="S229">
        <v>20</v>
      </c>
      <c r="T229">
        <v>18</v>
      </c>
      <c r="U229">
        <v>20</v>
      </c>
      <c r="V229">
        <v>18</v>
      </c>
      <c r="W229">
        <v>-16.000000000000004</v>
      </c>
      <c r="X229">
        <v>-18</v>
      </c>
      <c r="Y229">
        <v>-16.000000000000004</v>
      </c>
      <c r="AA229">
        <f t="shared" si="9"/>
        <v>144</v>
      </c>
      <c r="AB229">
        <f t="shared" si="10"/>
        <v>4.0593652774160978</v>
      </c>
      <c r="AC229">
        <f>AB229/1000*一般構造素材物性!$I$37</f>
        <v>7.6113098951551827E-3</v>
      </c>
      <c r="AD229">
        <f>AA229/1000*0.001*一般構造素材物性!$H$19</f>
        <v>1.2960000000000001E-2</v>
      </c>
      <c r="AF229">
        <f t="shared" si="11"/>
        <v>4.5256881769341399</v>
      </c>
    </row>
    <row r="230" spans="17:32">
      <c r="Q230">
        <v>221</v>
      </c>
      <c r="R230">
        <v>-17.900000000000002</v>
      </c>
      <c r="S230">
        <v>20</v>
      </c>
      <c r="T230">
        <v>17.900000000000002</v>
      </c>
      <c r="U230">
        <v>20</v>
      </c>
      <c r="V230">
        <v>17.900000000000002</v>
      </c>
      <c r="W230">
        <v>-15.800000000000002</v>
      </c>
      <c r="X230">
        <v>-17.900000000000002</v>
      </c>
      <c r="Y230">
        <v>-15.800000000000002</v>
      </c>
      <c r="AA230">
        <f t="shared" si="9"/>
        <v>143.20000000000002</v>
      </c>
      <c r="AB230">
        <f t="shared" si="10"/>
        <v>4.0593652774160986</v>
      </c>
      <c r="AC230">
        <f>AB230/1000*一般構造素材物性!$I$37</f>
        <v>7.6113098951551845E-3</v>
      </c>
      <c r="AD230">
        <f>AA230/1000*0.001*一般構造素材物性!$H$19</f>
        <v>1.2888E-2</v>
      </c>
      <c r="AF230">
        <f t="shared" si="11"/>
        <v>4.5303474868292959</v>
      </c>
    </row>
    <row r="231" spans="17:32">
      <c r="Q231">
        <v>222</v>
      </c>
      <c r="R231">
        <v>-17.8</v>
      </c>
      <c r="S231">
        <v>20</v>
      </c>
      <c r="T231">
        <v>17.8</v>
      </c>
      <c r="U231">
        <v>20</v>
      </c>
      <c r="V231">
        <v>17.8</v>
      </c>
      <c r="W231">
        <v>-15.600000000000001</v>
      </c>
      <c r="X231">
        <v>-17.8</v>
      </c>
      <c r="Y231">
        <v>-15.600000000000001</v>
      </c>
      <c r="AA231">
        <f t="shared" si="9"/>
        <v>142.4</v>
      </c>
      <c r="AB231">
        <f t="shared" si="10"/>
        <v>4.059365277416096</v>
      </c>
      <c r="AC231">
        <f>AB231/1000*一般構造素材物性!$I$37</f>
        <v>7.6113098951551793E-3</v>
      </c>
      <c r="AD231">
        <f>AA231/1000*0.001*一般構造素材物性!$H$19</f>
        <v>1.2815999999999999E-2</v>
      </c>
      <c r="AF231">
        <f t="shared" si="11"/>
        <v>4.5348627967244495</v>
      </c>
    </row>
    <row r="232" spans="17:32">
      <c r="Q232">
        <v>223</v>
      </c>
      <c r="R232">
        <v>-17.700000000000003</v>
      </c>
      <c r="S232">
        <v>20</v>
      </c>
      <c r="T232">
        <v>17.700000000000003</v>
      </c>
      <c r="U232">
        <v>20</v>
      </c>
      <c r="V232">
        <v>17.700000000000003</v>
      </c>
      <c r="W232">
        <v>-15.400000000000002</v>
      </c>
      <c r="X232">
        <v>-17.700000000000003</v>
      </c>
      <c r="Y232">
        <v>-15.400000000000002</v>
      </c>
      <c r="AA232">
        <f t="shared" si="9"/>
        <v>141.60000000000002</v>
      </c>
      <c r="AB232">
        <f t="shared" si="10"/>
        <v>4.0593652774160986</v>
      </c>
      <c r="AC232">
        <f>AB232/1000*一般構造素材物性!$I$37</f>
        <v>7.6113098951551845E-3</v>
      </c>
      <c r="AD232">
        <f>AA232/1000*0.001*一般構造素材物性!$H$19</f>
        <v>1.2744000000000002E-2</v>
      </c>
      <c r="AF232">
        <f t="shared" si="11"/>
        <v>4.5392341066196069</v>
      </c>
    </row>
    <row r="233" spans="17:32">
      <c r="Q233">
        <v>224</v>
      </c>
      <c r="R233">
        <v>-17.600000000000001</v>
      </c>
      <c r="S233">
        <v>20</v>
      </c>
      <c r="T233">
        <v>17.600000000000001</v>
      </c>
      <c r="U233">
        <v>20</v>
      </c>
      <c r="V233">
        <v>17.600000000000001</v>
      </c>
      <c r="W233">
        <v>-15.200000000000003</v>
      </c>
      <c r="X233">
        <v>-17.600000000000001</v>
      </c>
      <c r="Y233">
        <v>-15.200000000000003</v>
      </c>
      <c r="AA233">
        <f t="shared" si="9"/>
        <v>140.80000000000001</v>
      </c>
      <c r="AB233">
        <f t="shared" si="10"/>
        <v>4.0593652774160986</v>
      </c>
      <c r="AC233">
        <f>AB233/1000*一般構造素材物性!$I$37</f>
        <v>7.6113098951551845E-3</v>
      </c>
      <c r="AD233">
        <f>AA233/1000*0.001*一般構造素材物性!$H$19</f>
        <v>1.2672000000000001E-2</v>
      </c>
      <c r="AF233">
        <f t="shared" si="11"/>
        <v>4.5434614165147611</v>
      </c>
    </row>
    <row r="234" spans="17:32">
      <c r="Q234">
        <v>225</v>
      </c>
      <c r="R234">
        <v>-17.5</v>
      </c>
      <c r="S234">
        <v>20</v>
      </c>
      <c r="T234">
        <v>17.5</v>
      </c>
      <c r="U234">
        <v>20</v>
      </c>
      <c r="V234">
        <v>17.5</v>
      </c>
      <c r="W234">
        <v>-15.000000000000004</v>
      </c>
      <c r="X234">
        <v>-17.5</v>
      </c>
      <c r="Y234">
        <v>-15.000000000000004</v>
      </c>
      <c r="AA234">
        <f t="shared" si="9"/>
        <v>140</v>
      </c>
      <c r="AB234">
        <f t="shared" si="10"/>
        <v>4.0593652774160978</v>
      </c>
      <c r="AC234">
        <f>AB234/1000*一般構造素材物性!$I$37</f>
        <v>7.6113098951551827E-3</v>
      </c>
      <c r="AD234">
        <f>AA234/1000*0.001*一般構造素材物性!$H$19</f>
        <v>1.2600000000000002E-2</v>
      </c>
      <c r="AF234">
        <f t="shared" si="11"/>
        <v>4.5475447264099165</v>
      </c>
    </row>
    <row r="235" spans="17:32">
      <c r="Q235">
        <v>226</v>
      </c>
      <c r="R235">
        <v>-17.400000000000002</v>
      </c>
      <c r="S235">
        <v>20</v>
      </c>
      <c r="T235">
        <v>17.400000000000002</v>
      </c>
      <c r="U235">
        <v>20</v>
      </c>
      <c r="V235">
        <v>17.400000000000002</v>
      </c>
      <c r="W235">
        <v>-14.800000000000002</v>
      </c>
      <c r="X235">
        <v>-17.400000000000002</v>
      </c>
      <c r="Y235">
        <v>-14.800000000000002</v>
      </c>
      <c r="AA235">
        <f t="shared" si="9"/>
        <v>139.20000000000002</v>
      </c>
      <c r="AB235">
        <f t="shared" si="10"/>
        <v>4.0593652774160986</v>
      </c>
      <c r="AC235">
        <f>AB235/1000*一般構造素材物性!$I$37</f>
        <v>7.6113098951551845E-3</v>
      </c>
      <c r="AD235">
        <f>AA235/1000*0.001*一般構造素材物性!$H$19</f>
        <v>1.2528000000000003E-2</v>
      </c>
      <c r="AF235">
        <f t="shared" si="11"/>
        <v>4.5514840363050721</v>
      </c>
    </row>
    <row r="236" spans="17:32">
      <c r="Q236">
        <v>227</v>
      </c>
      <c r="R236">
        <v>-17.3</v>
      </c>
      <c r="S236">
        <v>20</v>
      </c>
      <c r="T236">
        <v>17.3</v>
      </c>
      <c r="U236">
        <v>20</v>
      </c>
      <c r="V236">
        <v>17.3</v>
      </c>
      <c r="W236">
        <v>-14.600000000000001</v>
      </c>
      <c r="X236">
        <v>-17.3</v>
      </c>
      <c r="Y236">
        <v>-14.600000000000001</v>
      </c>
      <c r="AA236">
        <f t="shared" si="9"/>
        <v>138.4</v>
      </c>
      <c r="AB236">
        <f t="shared" si="10"/>
        <v>4.059365277416096</v>
      </c>
      <c r="AC236">
        <f>AB236/1000*一般構造素材物性!$I$37</f>
        <v>7.6113098951551793E-3</v>
      </c>
      <c r="AD236">
        <f>AA236/1000*0.001*一般構造素材物性!$H$19</f>
        <v>1.2456E-2</v>
      </c>
      <c r="AF236">
        <f t="shared" si="11"/>
        <v>4.5552793462002255</v>
      </c>
    </row>
    <row r="237" spans="17:32">
      <c r="Q237">
        <v>228</v>
      </c>
      <c r="R237">
        <v>-17.200000000000003</v>
      </c>
      <c r="S237">
        <v>20</v>
      </c>
      <c r="T237">
        <v>17.200000000000003</v>
      </c>
      <c r="U237">
        <v>20</v>
      </c>
      <c r="V237">
        <v>17.200000000000003</v>
      </c>
      <c r="W237">
        <v>-14.400000000000002</v>
      </c>
      <c r="X237">
        <v>-17.200000000000003</v>
      </c>
      <c r="Y237">
        <v>-14.400000000000002</v>
      </c>
      <c r="AA237">
        <f t="shared" si="9"/>
        <v>137.60000000000002</v>
      </c>
      <c r="AB237">
        <f t="shared" si="10"/>
        <v>4.0593652774160986</v>
      </c>
      <c r="AC237">
        <f>AB237/1000*一般構造素材物性!$I$37</f>
        <v>7.6113098951551845E-3</v>
      </c>
      <c r="AD237">
        <f>AA237/1000*0.001*一般構造素材物性!$H$19</f>
        <v>1.2384000000000003E-2</v>
      </c>
      <c r="AF237">
        <f t="shared" si="11"/>
        <v>4.5589306560953826</v>
      </c>
    </row>
    <row r="238" spans="17:32">
      <c r="Q238">
        <v>229</v>
      </c>
      <c r="R238">
        <v>-17.100000000000001</v>
      </c>
      <c r="S238">
        <v>20</v>
      </c>
      <c r="T238">
        <v>17.100000000000001</v>
      </c>
      <c r="U238">
        <v>20</v>
      </c>
      <c r="V238">
        <v>17.100000000000001</v>
      </c>
      <c r="W238">
        <v>-14.200000000000003</v>
      </c>
      <c r="X238">
        <v>-17.100000000000001</v>
      </c>
      <c r="Y238">
        <v>-14.200000000000003</v>
      </c>
      <c r="AA238">
        <f t="shared" si="9"/>
        <v>136.80000000000001</v>
      </c>
      <c r="AB238">
        <f t="shared" si="10"/>
        <v>4.0593652774160986</v>
      </c>
      <c r="AC238">
        <f>AB238/1000*一般構造素材物性!$I$37</f>
        <v>7.6113098951551845E-3</v>
      </c>
      <c r="AD238">
        <f>AA238/1000*0.001*一般構造素材物性!$H$19</f>
        <v>1.2312000000000002E-2</v>
      </c>
      <c r="AF238">
        <f t="shared" si="11"/>
        <v>4.5624379659905374</v>
      </c>
    </row>
    <row r="239" spans="17:32">
      <c r="Q239">
        <v>230</v>
      </c>
      <c r="R239">
        <v>-17</v>
      </c>
      <c r="S239">
        <v>20</v>
      </c>
      <c r="T239">
        <v>17</v>
      </c>
      <c r="U239">
        <v>20</v>
      </c>
      <c r="V239">
        <v>17</v>
      </c>
      <c r="W239">
        <v>-14.000000000000004</v>
      </c>
      <c r="X239">
        <v>-17</v>
      </c>
      <c r="Y239">
        <v>-14.000000000000004</v>
      </c>
      <c r="AA239">
        <f t="shared" si="9"/>
        <v>136</v>
      </c>
      <c r="AB239">
        <f t="shared" si="10"/>
        <v>4.0593652774160978</v>
      </c>
      <c r="AC239">
        <f>AB239/1000*一般構造素材物性!$I$37</f>
        <v>7.6113098951551827E-3</v>
      </c>
      <c r="AD239">
        <f>AA239/1000*0.001*一般構造素材物性!$H$19</f>
        <v>1.2240000000000003E-2</v>
      </c>
      <c r="AF239">
        <f t="shared" si="11"/>
        <v>4.5658012758856925</v>
      </c>
    </row>
    <row r="240" spans="17:32">
      <c r="Q240">
        <v>231</v>
      </c>
      <c r="R240">
        <v>-16.900000000000002</v>
      </c>
      <c r="S240">
        <v>20</v>
      </c>
      <c r="T240">
        <v>16.900000000000002</v>
      </c>
      <c r="U240">
        <v>20</v>
      </c>
      <c r="V240">
        <v>16.900000000000002</v>
      </c>
      <c r="W240">
        <v>-13.800000000000002</v>
      </c>
      <c r="X240">
        <v>-16.900000000000002</v>
      </c>
      <c r="Y240">
        <v>-13.800000000000002</v>
      </c>
      <c r="AA240">
        <f t="shared" si="9"/>
        <v>135.20000000000002</v>
      </c>
      <c r="AB240">
        <f t="shared" si="10"/>
        <v>4.0593652774160986</v>
      </c>
      <c r="AC240">
        <f>AB240/1000*一般構造素材物性!$I$37</f>
        <v>7.6113098951551845E-3</v>
      </c>
      <c r="AD240">
        <f>AA240/1000*0.001*一般構造素材物性!$H$19</f>
        <v>1.2168E-2</v>
      </c>
      <c r="AF240">
        <f t="shared" si="11"/>
        <v>4.5690205857808479</v>
      </c>
    </row>
    <row r="241" spans="17:32">
      <c r="Q241">
        <v>232</v>
      </c>
      <c r="R241">
        <v>-16.8</v>
      </c>
      <c r="S241">
        <v>20</v>
      </c>
      <c r="T241">
        <v>16.8</v>
      </c>
      <c r="U241">
        <v>20</v>
      </c>
      <c r="V241">
        <v>16.8</v>
      </c>
      <c r="W241">
        <v>-13.600000000000001</v>
      </c>
      <c r="X241">
        <v>-16.8</v>
      </c>
      <c r="Y241">
        <v>-13.600000000000001</v>
      </c>
      <c r="AA241">
        <f t="shared" si="9"/>
        <v>134.4</v>
      </c>
      <c r="AB241">
        <f t="shared" si="10"/>
        <v>4.059365277416096</v>
      </c>
      <c r="AC241">
        <f>AB241/1000*一般構造素材物性!$I$37</f>
        <v>7.6113098951551793E-3</v>
      </c>
      <c r="AD241">
        <f>AA241/1000*0.001*一般構造素材物性!$H$19</f>
        <v>1.2096000000000001E-2</v>
      </c>
      <c r="AF241">
        <f t="shared" si="11"/>
        <v>4.5720958956760018</v>
      </c>
    </row>
    <row r="242" spans="17:32">
      <c r="Q242">
        <v>233</v>
      </c>
      <c r="R242">
        <v>-16.700000000000003</v>
      </c>
      <c r="S242">
        <v>20</v>
      </c>
      <c r="T242">
        <v>16.700000000000003</v>
      </c>
      <c r="U242">
        <v>20</v>
      </c>
      <c r="V242">
        <v>16.700000000000003</v>
      </c>
      <c r="W242">
        <v>-13.400000000000002</v>
      </c>
      <c r="X242">
        <v>-16.700000000000003</v>
      </c>
      <c r="Y242">
        <v>-13.400000000000002</v>
      </c>
      <c r="AA242">
        <f t="shared" si="9"/>
        <v>133.60000000000002</v>
      </c>
      <c r="AB242">
        <f t="shared" si="10"/>
        <v>4.0593652774160986</v>
      </c>
      <c r="AC242">
        <f>AB242/1000*一般構造素材物性!$I$37</f>
        <v>7.6113098951551845E-3</v>
      </c>
      <c r="AD242">
        <f>AA242/1000*0.001*一般構造素材物性!$H$19</f>
        <v>1.2024000000000002E-2</v>
      </c>
      <c r="AF242">
        <f t="shared" si="11"/>
        <v>4.5750272055711587</v>
      </c>
    </row>
    <row r="243" spans="17:32">
      <c r="Q243">
        <v>234</v>
      </c>
      <c r="R243">
        <v>-16.600000000000001</v>
      </c>
      <c r="S243">
        <v>20</v>
      </c>
      <c r="T243">
        <v>16.600000000000001</v>
      </c>
      <c r="U243">
        <v>20</v>
      </c>
      <c r="V243">
        <v>16.600000000000001</v>
      </c>
      <c r="W243">
        <v>-13.200000000000003</v>
      </c>
      <c r="X243">
        <v>-16.600000000000001</v>
      </c>
      <c r="Y243">
        <v>-13.200000000000003</v>
      </c>
      <c r="AA243">
        <f t="shared" si="9"/>
        <v>132.80000000000001</v>
      </c>
      <c r="AB243">
        <f t="shared" si="10"/>
        <v>4.0593652774160986</v>
      </c>
      <c r="AC243">
        <f>AB243/1000*一般構造素材物性!$I$37</f>
        <v>7.6113098951551845E-3</v>
      </c>
      <c r="AD243">
        <f>AA243/1000*0.001*一般構造素材物性!$H$19</f>
        <v>1.1952000000000001E-2</v>
      </c>
      <c r="AF243">
        <f t="shared" si="11"/>
        <v>4.5778145154663141</v>
      </c>
    </row>
    <row r="244" spans="17:32">
      <c r="Q244">
        <v>235</v>
      </c>
      <c r="R244">
        <v>-16.5</v>
      </c>
      <c r="S244">
        <v>20</v>
      </c>
      <c r="T244">
        <v>16.5</v>
      </c>
      <c r="U244">
        <v>20</v>
      </c>
      <c r="V244">
        <v>16.5</v>
      </c>
      <c r="W244">
        <v>-13.000000000000004</v>
      </c>
      <c r="X244">
        <v>-16.5</v>
      </c>
      <c r="Y244">
        <v>-13.000000000000004</v>
      </c>
      <c r="AA244">
        <f t="shared" si="9"/>
        <v>132</v>
      </c>
      <c r="AB244">
        <f t="shared" si="10"/>
        <v>4.0593652774160978</v>
      </c>
      <c r="AC244">
        <f>AB244/1000*一般構造素材物性!$I$37</f>
        <v>7.6113098951551827E-3</v>
      </c>
      <c r="AD244">
        <f>AA244/1000*0.001*一般構造素材物性!$H$19</f>
        <v>1.1880000000000002E-2</v>
      </c>
      <c r="AF244">
        <f t="shared" si="11"/>
        <v>4.5804578253614681</v>
      </c>
    </row>
    <row r="245" spans="17:32">
      <c r="Q245">
        <v>236</v>
      </c>
      <c r="R245">
        <v>-16.400000000000002</v>
      </c>
      <c r="S245">
        <v>20</v>
      </c>
      <c r="T245">
        <v>16.400000000000002</v>
      </c>
      <c r="U245">
        <v>20</v>
      </c>
      <c r="V245">
        <v>16.400000000000002</v>
      </c>
      <c r="W245">
        <v>-12.800000000000002</v>
      </c>
      <c r="X245">
        <v>-16.400000000000002</v>
      </c>
      <c r="Y245">
        <v>-12.800000000000002</v>
      </c>
      <c r="AA245">
        <f t="shared" si="9"/>
        <v>131.20000000000002</v>
      </c>
      <c r="AB245">
        <f t="shared" si="10"/>
        <v>4.0593652774160986</v>
      </c>
      <c r="AC245">
        <f>AB245/1000*一般構造素材物性!$I$37</f>
        <v>7.6113098951551845E-3</v>
      </c>
      <c r="AD245">
        <f>AA245/1000*0.001*一般構造素材物性!$H$19</f>
        <v>1.1808000000000001E-2</v>
      </c>
      <c r="AF245">
        <f t="shared" si="11"/>
        <v>4.5829571352566241</v>
      </c>
    </row>
    <row r="246" spans="17:32">
      <c r="Q246">
        <v>237</v>
      </c>
      <c r="R246">
        <v>-16.3</v>
      </c>
      <c r="S246">
        <v>20</v>
      </c>
      <c r="T246">
        <v>16.3</v>
      </c>
      <c r="U246">
        <v>20</v>
      </c>
      <c r="V246">
        <v>16.3</v>
      </c>
      <c r="W246">
        <v>-12.600000000000001</v>
      </c>
      <c r="X246">
        <v>-16.3</v>
      </c>
      <c r="Y246">
        <v>-12.600000000000001</v>
      </c>
      <c r="AA246">
        <f t="shared" si="9"/>
        <v>130.4</v>
      </c>
      <c r="AB246">
        <f t="shared" si="10"/>
        <v>4.059365277416096</v>
      </c>
      <c r="AC246">
        <f>AB246/1000*一般構造素材物性!$I$37</f>
        <v>7.6113098951551793E-3</v>
      </c>
      <c r="AD246">
        <f>AA246/1000*0.001*一般構造素材物性!$H$19</f>
        <v>1.1736000000000002E-2</v>
      </c>
      <c r="AF246">
        <f t="shared" si="11"/>
        <v>4.5853124451517777</v>
      </c>
    </row>
    <row r="247" spans="17:32">
      <c r="Q247">
        <v>238</v>
      </c>
      <c r="R247">
        <v>-16.200000000000003</v>
      </c>
      <c r="S247">
        <v>20</v>
      </c>
      <c r="T247">
        <v>16.200000000000003</v>
      </c>
      <c r="U247">
        <v>20</v>
      </c>
      <c r="V247">
        <v>16.200000000000003</v>
      </c>
      <c r="W247">
        <v>-12.400000000000002</v>
      </c>
      <c r="X247">
        <v>-16.200000000000003</v>
      </c>
      <c r="Y247">
        <v>-12.400000000000002</v>
      </c>
      <c r="AA247">
        <f t="shared" si="9"/>
        <v>129.60000000000002</v>
      </c>
      <c r="AB247">
        <f t="shared" si="10"/>
        <v>4.0593652774160986</v>
      </c>
      <c r="AC247">
        <f>AB247/1000*一般構造素材物性!$I$37</f>
        <v>7.6113098951551845E-3</v>
      </c>
      <c r="AD247">
        <f>AA247/1000*0.001*一般構造素材物性!$H$19</f>
        <v>1.1664000000000002E-2</v>
      </c>
      <c r="AF247">
        <f t="shared" si="11"/>
        <v>4.5875237550469343</v>
      </c>
    </row>
    <row r="248" spans="17:32">
      <c r="Q248">
        <v>239</v>
      </c>
      <c r="R248">
        <v>-16.100000000000001</v>
      </c>
      <c r="S248">
        <v>20</v>
      </c>
      <c r="T248">
        <v>16.100000000000001</v>
      </c>
      <c r="U248">
        <v>20</v>
      </c>
      <c r="V248">
        <v>16.100000000000001</v>
      </c>
      <c r="W248">
        <v>-12.200000000000003</v>
      </c>
      <c r="X248">
        <v>-16.100000000000001</v>
      </c>
      <c r="Y248">
        <v>-12.200000000000003</v>
      </c>
      <c r="AA248">
        <f t="shared" si="9"/>
        <v>128.80000000000001</v>
      </c>
      <c r="AB248">
        <f t="shared" si="10"/>
        <v>4.0593652774160986</v>
      </c>
      <c r="AC248">
        <f>AB248/1000*一般構造素材物性!$I$37</f>
        <v>7.6113098951551845E-3</v>
      </c>
      <c r="AD248">
        <f>AA248/1000*0.001*一般構造素材物性!$H$19</f>
        <v>1.1592000000000002E-2</v>
      </c>
      <c r="AF248">
        <f t="shared" si="11"/>
        <v>4.5895910649420895</v>
      </c>
    </row>
    <row r="249" spans="17:32">
      <c r="Q249">
        <v>240</v>
      </c>
      <c r="R249">
        <v>-16</v>
      </c>
      <c r="S249">
        <v>20</v>
      </c>
      <c r="T249">
        <v>16</v>
      </c>
      <c r="U249">
        <v>20</v>
      </c>
      <c r="V249">
        <v>16</v>
      </c>
      <c r="W249">
        <v>-12.000000000000002</v>
      </c>
      <c r="X249">
        <v>-16</v>
      </c>
      <c r="Y249">
        <v>-12.000000000000002</v>
      </c>
      <c r="AA249">
        <f t="shared" si="9"/>
        <v>128</v>
      </c>
      <c r="AB249">
        <f t="shared" si="10"/>
        <v>4.059365277416096</v>
      </c>
      <c r="AC249">
        <f>AB249/1000*一般構造素材物性!$I$37</f>
        <v>7.6113098951551793E-3</v>
      </c>
      <c r="AD249">
        <f>AA249/1000*0.001*一般構造素材物性!$H$19</f>
        <v>1.1519999999999999E-2</v>
      </c>
      <c r="AF249">
        <f t="shared" si="11"/>
        <v>4.5915143748372431</v>
      </c>
    </row>
    <row r="250" spans="17:32">
      <c r="Q250">
        <v>241</v>
      </c>
      <c r="R250">
        <v>-15.900000000000002</v>
      </c>
      <c r="S250">
        <v>20</v>
      </c>
      <c r="T250">
        <v>15.900000000000002</v>
      </c>
      <c r="U250">
        <v>20</v>
      </c>
      <c r="V250">
        <v>15.900000000000002</v>
      </c>
      <c r="W250">
        <v>-11.800000000000002</v>
      </c>
      <c r="X250">
        <v>-15.900000000000002</v>
      </c>
      <c r="Y250">
        <v>-11.800000000000002</v>
      </c>
      <c r="AA250">
        <f t="shared" si="9"/>
        <v>127.20000000000002</v>
      </c>
      <c r="AB250">
        <f t="shared" si="10"/>
        <v>4.0593652774160986</v>
      </c>
      <c r="AC250">
        <f>AB250/1000*一般構造素材物性!$I$37</f>
        <v>7.6113098951551845E-3</v>
      </c>
      <c r="AD250">
        <f>AA250/1000*0.001*一般構造素材物性!$H$19</f>
        <v>1.1448E-2</v>
      </c>
      <c r="AF250">
        <f t="shared" si="11"/>
        <v>4.5932936847323989</v>
      </c>
    </row>
    <row r="251" spans="17:32">
      <c r="Q251">
        <v>242</v>
      </c>
      <c r="R251">
        <v>-15.8</v>
      </c>
      <c r="S251">
        <v>20</v>
      </c>
      <c r="T251">
        <v>15.8</v>
      </c>
      <c r="U251">
        <v>20</v>
      </c>
      <c r="V251">
        <v>15.8</v>
      </c>
      <c r="W251">
        <v>-11.600000000000003</v>
      </c>
      <c r="X251">
        <v>-15.8</v>
      </c>
      <c r="Y251">
        <v>-11.600000000000003</v>
      </c>
      <c r="AA251">
        <f t="shared" si="9"/>
        <v>126.4</v>
      </c>
      <c r="AB251">
        <f t="shared" si="10"/>
        <v>4.0593652774160978</v>
      </c>
      <c r="AC251">
        <f>AB251/1000*一般構造素材物性!$I$37</f>
        <v>7.6113098951551827E-3</v>
      </c>
      <c r="AD251">
        <f>AA251/1000*0.001*一般構造素材物性!$H$19</f>
        <v>1.1376000000000001E-2</v>
      </c>
      <c r="AF251">
        <f t="shared" si="11"/>
        <v>4.594928994627554</v>
      </c>
    </row>
    <row r="252" spans="17:32">
      <c r="Q252">
        <v>243</v>
      </c>
      <c r="R252">
        <v>-15.700000000000001</v>
      </c>
      <c r="S252">
        <v>20</v>
      </c>
      <c r="T252">
        <v>15.700000000000001</v>
      </c>
      <c r="U252">
        <v>20</v>
      </c>
      <c r="V252">
        <v>15.700000000000001</v>
      </c>
      <c r="W252">
        <v>-11.400000000000002</v>
      </c>
      <c r="X252">
        <v>-15.700000000000001</v>
      </c>
      <c r="Y252">
        <v>-11.400000000000002</v>
      </c>
      <c r="AA252">
        <f t="shared" si="9"/>
        <v>125.60000000000001</v>
      </c>
      <c r="AB252">
        <f t="shared" si="10"/>
        <v>4.0593652774160969</v>
      </c>
      <c r="AC252">
        <f>AB252/1000*一般構造素材物性!$I$37</f>
        <v>7.611309895155181E-3</v>
      </c>
      <c r="AD252">
        <f>AA252/1000*0.001*一般構造素材物性!$H$19</f>
        <v>1.1304000000000002E-2</v>
      </c>
      <c r="AF252">
        <f t="shared" si="11"/>
        <v>4.5964203045227094</v>
      </c>
    </row>
    <row r="253" spans="17:32">
      <c r="Q253">
        <v>244</v>
      </c>
      <c r="R253">
        <v>-15.600000000000001</v>
      </c>
      <c r="S253">
        <v>20</v>
      </c>
      <c r="T253">
        <v>15.600000000000001</v>
      </c>
      <c r="U253">
        <v>20</v>
      </c>
      <c r="V253">
        <v>15.600000000000001</v>
      </c>
      <c r="W253">
        <v>-11.200000000000003</v>
      </c>
      <c r="X253">
        <v>-15.600000000000001</v>
      </c>
      <c r="Y253">
        <v>-11.200000000000003</v>
      </c>
      <c r="AA253">
        <f t="shared" si="9"/>
        <v>124.80000000000001</v>
      </c>
      <c r="AB253">
        <f t="shared" si="10"/>
        <v>4.0593652774160986</v>
      </c>
      <c r="AC253">
        <f>AB253/1000*一般構造素材物性!$I$37</f>
        <v>7.6113098951551845E-3</v>
      </c>
      <c r="AD253">
        <f>AA253/1000*0.001*一般構造素材物性!$H$19</f>
        <v>1.1231999999999999E-2</v>
      </c>
      <c r="AF253">
        <f t="shared" si="11"/>
        <v>4.5977676144178643</v>
      </c>
    </row>
    <row r="254" spans="17:32">
      <c r="Q254">
        <v>245</v>
      </c>
      <c r="R254">
        <v>-15.5</v>
      </c>
      <c r="S254">
        <v>20</v>
      </c>
      <c r="T254">
        <v>15.5</v>
      </c>
      <c r="U254">
        <v>20</v>
      </c>
      <c r="V254">
        <v>15.5</v>
      </c>
      <c r="W254">
        <v>-11.000000000000002</v>
      </c>
      <c r="X254">
        <v>-15.5</v>
      </c>
      <c r="Y254">
        <v>-11.000000000000002</v>
      </c>
      <c r="AA254">
        <f t="shared" si="9"/>
        <v>124</v>
      </c>
      <c r="AB254">
        <f t="shared" si="10"/>
        <v>4.059365277416096</v>
      </c>
      <c r="AC254">
        <f>AB254/1000*一般構造素材物性!$I$37</f>
        <v>7.6113098951551793E-3</v>
      </c>
      <c r="AD254">
        <f>AA254/1000*0.001*一般構造素材物性!$H$19</f>
        <v>1.116E-2</v>
      </c>
      <c r="AF254">
        <f t="shared" si="11"/>
        <v>4.5989709243130186</v>
      </c>
    </row>
    <row r="255" spans="17:32">
      <c r="Q255">
        <v>246</v>
      </c>
      <c r="R255">
        <v>-15.400000000000002</v>
      </c>
      <c r="S255">
        <v>20</v>
      </c>
      <c r="T255">
        <v>15.400000000000002</v>
      </c>
      <c r="U255">
        <v>20</v>
      </c>
      <c r="V255">
        <v>15.400000000000002</v>
      </c>
      <c r="W255">
        <v>-10.800000000000002</v>
      </c>
      <c r="X255">
        <v>-15.400000000000002</v>
      </c>
      <c r="Y255">
        <v>-10.800000000000002</v>
      </c>
      <c r="AA255">
        <f t="shared" si="9"/>
        <v>123.20000000000002</v>
      </c>
      <c r="AB255">
        <f t="shared" si="10"/>
        <v>4.0593652774160986</v>
      </c>
      <c r="AC255">
        <f>AB255/1000*一般構造素材物性!$I$37</f>
        <v>7.6113098951551845E-3</v>
      </c>
      <c r="AD255">
        <f>AA255/1000*0.001*一般構造素材物性!$H$19</f>
        <v>1.1088000000000001E-2</v>
      </c>
      <c r="AF255">
        <f t="shared" si="11"/>
        <v>4.6000302342081749</v>
      </c>
    </row>
    <row r="256" spans="17:32">
      <c r="Q256">
        <v>247</v>
      </c>
      <c r="R256">
        <v>-15.3</v>
      </c>
      <c r="S256">
        <v>20</v>
      </c>
      <c r="T256">
        <v>15.3</v>
      </c>
      <c r="U256">
        <v>20</v>
      </c>
      <c r="V256">
        <v>15.3</v>
      </c>
      <c r="W256">
        <v>-10.600000000000001</v>
      </c>
      <c r="X256">
        <v>-15.3</v>
      </c>
      <c r="Y256">
        <v>-10.600000000000001</v>
      </c>
      <c r="AA256">
        <f t="shared" si="9"/>
        <v>122.4</v>
      </c>
      <c r="AB256">
        <f t="shared" si="10"/>
        <v>4.0593652774160969</v>
      </c>
      <c r="AC256">
        <f>AB256/1000*一般構造素材物性!$I$37</f>
        <v>7.611309895155181E-3</v>
      </c>
      <c r="AD256">
        <f>AA256/1000*0.001*一般構造素材物性!$H$19</f>
        <v>1.1016000000000001E-2</v>
      </c>
      <c r="AF256">
        <f t="shared" si="11"/>
        <v>4.6009455441033298</v>
      </c>
    </row>
    <row r="257" spans="17:32">
      <c r="Q257">
        <v>248</v>
      </c>
      <c r="R257">
        <v>-15.200000000000001</v>
      </c>
      <c r="S257">
        <v>20</v>
      </c>
      <c r="T257">
        <v>15.200000000000001</v>
      </c>
      <c r="U257">
        <v>20</v>
      </c>
      <c r="V257">
        <v>15.200000000000001</v>
      </c>
      <c r="W257">
        <v>-10.400000000000002</v>
      </c>
      <c r="X257">
        <v>-15.200000000000001</v>
      </c>
      <c r="Y257">
        <v>-10.400000000000002</v>
      </c>
      <c r="AA257">
        <f t="shared" si="9"/>
        <v>121.60000000000001</v>
      </c>
      <c r="AB257">
        <f t="shared" si="10"/>
        <v>4.0593652774160969</v>
      </c>
      <c r="AC257">
        <f>AB257/1000*一般構造素材物性!$I$37</f>
        <v>7.611309895155181E-3</v>
      </c>
      <c r="AD257">
        <f>AA257/1000*0.001*一般構造素材物性!$H$19</f>
        <v>1.0944000000000001E-2</v>
      </c>
      <c r="AF257">
        <f t="shared" si="11"/>
        <v>4.601716853998485</v>
      </c>
    </row>
    <row r="258" spans="17:32">
      <c r="Q258">
        <v>249</v>
      </c>
      <c r="R258">
        <v>-15.100000000000001</v>
      </c>
      <c r="S258">
        <v>20</v>
      </c>
      <c r="T258">
        <v>15.100000000000001</v>
      </c>
      <c r="U258">
        <v>20</v>
      </c>
      <c r="V258">
        <v>15.100000000000001</v>
      </c>
      <c r="W258">
        <v>-10.200000000000003</v>
      </c>
      <c r="X258">
        <v>-15.100000000000001</v>
      </c>
      <c r="Y258">
        <v>-10.200000000000003</v>
      </c>
      <c r="AA258">
        <f t="shared" si="9"/>
        <v>120.80000000000001</v>
      </c>
      <c r="AB258">
        <f t="shared" si="10"/>
        <v>4.0593652774160986</v>
      </c>
      <c r="AC258">
        <f>AB258/1000*一般構造素材物性!$I$37</f>
        <v>7.6113098951551845E-3</v>
      </c>
      <c r="AD258">
        <f>AA258/1000*0.001*一般構造素材物性!$H$19</f>
        <v>1.0872000000000001E-2</v>
      </c>
      <c r="AF258">
        <f t="shared" si="11"/>
        <v>4.6023441638936413</v>
      </c>
    </row>
    <row r="259" spans="17:32">
      <c r="Q259">
        <v>250</v>
      </c>
      <c r="R259">
        <v>-15</v>
      </c>
      <c r="S259">
        <v>20</v>
      </c>
      <c r="T259">
        <v>15</v>
      </c>
      <c r="U259">
        <v>20</v>
      </c>
      <c r="V259">
        <v>15</v>
      </c>
      <c r="W259">
        <v>-10.000000000000002</v>
      </c>
      <c r="X259">
        <v>-15</v>
      </c>
      <c r="Y259">
        <v>-10.000000000000002</v>
      </c>
      <c r="AA259">
        <f t="shared" si="9"/>
        <v>120</v>
      </c>
      <c r="AB259">
        <f t="shared" si="10"/>
        <v>4.059365277416096</v>
      </c>
      <c r="AC259">
        <f>AB259/1000*一般構造素材物性!$I$37</f>
        <v>7.6113098951551793E-3</v>
      </c>
      <c r="AD259">
        <f>AA259/1000*0.001*一般構造素材物性!$H$19</f>
        <v>1.0800000000000001E-2</v>
      </c>
      <c r="AF259">
        <f t="shared" si="11"/>
        <v>4.6028274737887953</v>
      </c>
    </row>
    <row r="260" spans="17:32">
      <c r="Q260">
        <v>251</v>
      </c>
      <c r="R260">
        <v>-14.900000000000002</v>
      </c>
      <c r="S260">
        <v>20</v>
      </c>
      <c r="T260">
        <v>14.900000000000002</v>
      </c>
      <c r="U260">
        <v>20</v>
      </c>
      <c r="V260">
        <v>14.900000000000002</v>
      </c>
      <c r="W260">
        <v>-9.8000000000000025</v>
      </c>
      <c r="X260">
        <v>-14.900000000000002</v>
      </c>
      <c r="Y260">
        <v>-9.8000000000000025</v>
      </c>
      <c r="AA260">
        <f t="shared" si="9"/>
        <v>119.20000000000002</v>
      </c>
      <c r="AB260">
        <f t="shared" si="10"/>
        <v>4.0593652774160986</v>
      </c>
      <c r="AC260">
        <f>AB260/1000*一般構造素材物性!$I$37</f>
        <v>7.6113098951551845E-3</v>
      </c>
      <c r="AD260">
        <f>AA260/1000*0.001*一般構造素材物性!$H$19</f>
        <v>1.0728000000000001E-2</v>
      </c>
      <c r="AF260">
        <f t="shared" si="11"/>
        <v>4.6031667836839514</v>
      </c>
    </row>
    <row r="261" spans="17:32">
      <c r="Q261">
        <v>252</v>
      </c>
      <c r="R261">
        <v>-14.8</v>
      </c>
      <c r="S261">
        <v>20</v>
      </c>
      <c r="T261">
        <v>14.8</v>
      </c>
      <c r="U261">
        <v>20</v>
      </c>
      <c r="V261">
        <v>14.8</v>
      </c>
      <c r="W261">
        <v>-9.6000000000000014</v>
      </c>
      <c r="X261">
        <v>-14.8</v>
      </c>
      <c r="Y261">
        <v>-9.6000000000000014</v>
      </c>
      <c r="AA261">
        <f t="shared" si="9"/>
        <v>118.4</v>
      </c>
      <c r="AB261">
        <f t="shared" si="10"/>
        <v>4.0593652774160969</v>
      </c>
      <c r="AC261">
        <f>AB261/1000*一般構造素材物性!$I$37</f>
        <v>7.611309895155181E-3</v>
      </c>
      <c r="AD261">
        <f>AA261/1000*0.001*一般構造素材物性!$H$19</f>
        <v>1.0656000000000001E-2</v>
      </c>
      <c r="AF261">
        <f t="shared" si="11"/>
        <v>4.603362093579106</v>
      </c>
    </row>
    <row r="262" spans="17:32">
      <c r="Q262">
        <v>253</v>
      </c>
      <c r="R262">
        <v>-14.700000000000001</v>
      </c>
      <c r="S262">
        <v>20</v>
      </c>
      <c r="T262">
        <v>14.700000000000001</v>
      </c>
      <c r="U262">
        <v>20</v>
      </c>
      <c r="V262">
        <v>14.700000000000001</v>
      </c>
      <c r="W262">
        <v>-9.4000000000000021</v>
      </c>
      <c r="X262">
        <v>-14.700000000000001</v>
      </c>
      <c r="Y262">
        <v>-9.4000000000000021</v>
      </c>
      <c r="AA262">
        <f t="shared" si="9"/>
        <v>117.60000000000001</v>
      </c>
      <c r="AB262">
        <f t="shared" si="10"/>
        <v>4.0593652774160969</v>
      </c>
      <c r="AC262">
        <f>AB262/1000*一般構造素材物性!$I$37</f>
        <v>7.611309895155181E-3</v>
      </c>
      <c r="AD262">
        <f>AA262/1000*0.001*一般構造素材物性!$H$19</f>
        <v>1.0584000000000001E-2</v>
      </c>
      <c r="AF262">
        <f t="shared" si="11"/>
        <v>4.6034134034742609</v>
      </c>
    </row>
    <row r="263" spans="17:32">
      <c r="Q263">
        <v>254</v>
      </c>
      <c r="R263">
        <v>-14.600000000000001</v>
      </c>
      <c r="S263">
        <v>20</v>
      </c>
      <c r="T263">
        <v>14.600000000000001</v>
      </c>
      <c r="U263">
        <v>20</v>
      </c>
      <c r="V263">
        <v>14.600000000000001</v>
      </c>
      <c r="W263">
        <v>-9.2000000000000028</v>
      </c>
      <c r="X263">
        <v>-14.600000000000001</v>
      </c>
      <c r="Y263">
        <v>-9.2000000000000028</v>
      </c>
      <c r="AA263">
        <f t="shared" si="9"/>
        <v>116.80000000000001</v>
      </c>
      <c r="AB263">
        <f t="shared" si="10"/>
        <v>4.0593652774160986</v>
      </c>
      <c r="AC263">
        <f>AB263/1000*一般構造素材物性!$I$37</f>
        <v>7.6113098951551845E-3</v>
      </c>
      <c r="AD263">
        <f>AA263/1000*0.001*一般構造素材物性!$H$19</f>
        <v>1.0512000000000002E-2</v>
      </c>
      <c r="AF263">
        <f t="shared" si="11"/>
        <v>4.6033207133694178</v>
      </c>
    </row>
    <row r="264" spans="17:32">
      <c r="Q264">
        <v>255</v>
      </c>
      <c r="R264">
        <v>-14.5</v>
      </c>
      <c r="S264">
        <v>20</v>
      </c>
      <c r="T264">
        <v>14.5</v>
      </c>
      <c r="U264">
        <v>20</v>
      </c>
      <c r="V264">
        <v>14.5</v>
      </c>
      <c r="W264">
        <v>-9.0000000000000018</v>
      </c>
      <c r="X264">
        <v>-14.5</v>
      </c>
      <c r="Y264">
        <v>-9.0000000000000018</v>
      </c>
      <c r="AA264">
        <f t="shared" si="9"/>
        <v>116</v>
      </c>
      <c r="AB264">
        <f t="shared" si="10"/>
        <v>4.059365277416096</v>
      </c>
      <c r="AC264">
        <f>AB264/1000*一般構造素材物性!$I$37</f>
        <v>7.6113098951551793E-3</v>
      </c>
      <c r="AD264">
        <f>AA264/1000*0.001*一般構造素材物性!$H$19</f>
        <v>1.0440000000000001E-2</v>
      </c>
      <c r="AF264">
        <f t="shared" si="11"/>
        <v>4.6030840232645707</v>
      </c>
    </row>
    <row r="265" spans="17:32">
      <c r="Q265">
        <v>256</v>
      </c>
      <c r="R265">
        <v>-14.400000000000002</v>
      </c>
      <c r="S265">
        <v>20</v>
      </c>
      <c r="T265">
        <v>14.400000000000002</v>
      </c>
      <c r="U265">
        <v>20</v>
      </c>
      <c r="V265">
        <v>14.400000000000002</v>
      </c>
      <c r="W265">
        <v>-8.8000000000000025</v>
      </c>
      <c r="X265">
        <v>-14.400000000000002</v>
      </c>
      <c r="Y265">
        <v>-8.8000000000000025</v>
      </c>
      <c r="AA265">
        <f t="shared" si="9"/>
        <v>115.20000000000002</v>
      </c>
      <c r="AB265">
        <f t="shared" si="10"/>
        <v>4.0593652774160986</v>
      </c>
      <c r="AC265">
        <f>AB265/1000*一般構造素材物性!$I$37</f>
        <v>7.6113098951551845E-3</v>
      </c>
      <c r="AD265">
        <f>AA265/1000*0.001*一般構造素材物性!$H$19</f>
        <v>1.0368E-2</v>
      </c>
      <c r="AF265">
        <f t="shared" si="11"/>
        <v>4.6027033331597274</v>
      </c>
    </row>
    <row r="266" spans="17:32">
      <c r="Q266">
        <v>257</v>
      </c>
      <c r="R266">
        <v>-14.3</v>
      </c>
      <c r="S266">
        <v>20</v>
      </c>
      <c r="T266">
        <v>14.3</v>
      </c>
      <c r="U266">
        <v>20</v>
      </c>
      <c r="V266">
        <v>14.3</v>
      </c>
      <c r="W266">
        <v>-8.6000000000000014</v>
      </c>
      <c r="X266">
        <v>-14.3</v>
      </c>
      <c r="Y266">
        <v>-8.6000000000000014</v>
      </c>
      <c r="AA266">
        <f t="shared" ref="AA266:AA309" si="12">SQRT((T266-R266)^2+(U266-S266)^2)+SQRT((V266-T266)^2+(W266-U266)^2)+SQRT((X266-V266)^2+(Y266-W266)^2)+SQRT((R266-X266)^2+(S266-Y266)^2)</f>
        <v>114.4</v>
      </c>
      <c r="AB266">
        <f t="shared" ref="AB266:AB309" si="13">SQRT((R267-R266)^2+(S267-S266)^2+1^2)+SQRT((T267-T266)^2+(U267-U266)^2+1^2)+SQRT((V267-V266)^2+(W267-W266)^2+1^2)+SQRT((X267-X266)^2+(Y267-Y266)^2+1^2)</f>
        <v>4.0593652774160969</v>
      </c>
      <c r="AC266">
        <f>AB266/1000*一般構造素材物性!$I$37</f>
        <v>7.611309895155181E-3</v>
      </c>
      <c r="AD266">
        <f>AA266/1000*0.001*一般構造素材物性!$H$19</f>
        <v>1.0296E-2</v>
      </c>
      <c r="AF266">
        <f t="shared" ref="AF266:AF309" si="14">(AC266+AD266)*(Q266-$Q$9)</f>
        <v>4.6021786430548817</v>
      </c>
    </row>
    <row r="267" spans="17:32">
      <c r="Q267">
        <v>258</v>
      </c>
      <c r="R267">
        <v>-14.200000000000001</v>
      </c>
      <c r="S267">
        <v>20</v>
      </c>
      <c r="T267">
        <v>14.200000000000001</v>
      </c>
      <c r="U267">
        <v>20</v>
      </c>
      <c r="V267">
        <v>14.200000000000001</v>
      </c>
      <c r="W267">
        <v>-8.4000000000000021</v>
      </c>
      <c r="X267">
        <v>-14.200000000000001</v>
      </c>
      <c r="Y267">
        <v>-8.4000000000000021</v>
      </c>
      <c r="AA267">
        <f t="shared" si="12"/>
        <v>113.60000000000001</v>
      </c>
      <c r="AB267">
        <f t="shared" si="13"/>
        <v>4.0593652774160969</v>
      </c>
      <c r="AC267">
        <f>AB267/1000*一般構造素材物性!$I$37</f>
        <v>7.611309895155181E-3</v>
      </c>
      <c r="AD267">
        <f>AA267/1000*0.001*一般構造素材物性!$H$19</f>
        <v>1.0224E-2</v>
      </c>
      <c r="AF267">
        <f t="shared" si="14"/>
        <v>4.6015099529500363</v>
      </c>
    </row>
    <row r="268" spans="17:32">
      <c r="Q268">
        <v>259</v>
      </c>
      <c r="R268">
        <v>-14.100000000000001</v>
      </c>
      <c r="S268">
        <v>20</v>
      </c>
      <c r="T268">
        <v>14.100000000000001</v>
      </c>
      <c r="U268">
        <v>20</v>
      </c>
      <c r="V268">
        <v>14.100000000000001</v>
      </c>
      <c r="W268">
        <v>-8.2000000000000028</v>
      </c>
      <c r="X268">
        <v>-14.100000000000001</v>
      </c>
      <c r="Y268">
        <v>-8.2000000000000028</v>
      </c>
      <c r="AA268">
        <f t="shared" si="12"/>
        <v>112.80000000000001</v>
      </c>
      <c r="AB268">
        <f t="shared" si="13"/>
        <v>4.0593652774160986</v>
      </c>
      <c r="AC268">
        <f>AB268/1000*一般構造素材物性!$I$37</f>
        <v>7.6113098951551845E-3</v>
      </c>
      <c r="AD268">
        <f>AA268/1000*0.001*一般構造素材物性!$H$19</f>
        <v>1.0152000000000001E-2</v>
      </c>
      <c r="AF268">
        <f t="shared" si="14"/>
        <v>4.600697262845193</v>
      </c>
    </row>
    <row r="269" spans="17:32">
      <c r="Q269">
        <v>260</v>
      </c>
      <c r="R269">
        <v>-14</v>
      </c>
      <c r="S269">
        <v>20</v>
      </c>
      <c r="T269">
        <v>14</v>
      </c>
      <c r="U269">
        <v>20</v>
      </c>
      <c r="V269">
        <v>14</v>
      </c>
      <c r="W269">
        <v>-8.0000000000000018</v>
      </c>
      <c r="X269">
        <v>-14</v>
      </c>
      <c r="Y269">
        <v>-8.0000000000000018</v>
      </c>
      <c r="AA269">
        <f t="shared" si="12"/>
        <v>112</v>
      </c>
      <c r="AB269">
        <f t="shared" si="13"/>
        <v>4.059365277416096</v>
      </c>
      <c r="AC269">
        <f>AB269/1000*一般構造素材物性!$I$37</f>
        <v>7.6113098951551793E-3</v>
      </c>
      <c r="AD269">
        <f>AA269/1000*0.001*一般構造素材物性!$H$19</f>
        <v>1.008E-2</v>
      </c>
      <c r="AF269">
        <f t="shared" si="14"/>
        <v>4.5997405727403473</v>
      </c>
    </row>
    <row r="270" spans="17:32">
      <c r="Q270">
        <v>261</v>
      </c>
      <c r="R270">
        <v>-13.900000000000002</v>
      </c>
      <c r="S270">
        <v>20</v>
      </c>
      <c r="T270">
        <v>13.900000000000002</v>
      </c>
      <c r="U270">
        <v>20</v>
      </c>
      <c r="V270">
        <v>13.900000000000002</v>
      </c>
      <c r="W270">
        <v>-7.8000000000000025</v>
      </c>
      <c r="X270">
        <v>-13.900000000000002</v>
      </c>
      <c r="Y270">
        <v>-7.8000000000000025</v>
      </c>
      <c r="AA270">
        <f t="shared" si="12"/>
        <v>111.20000000000002</v>
      </c>
      <c r="AB270">
        <f t="shared" si="13"/>
        <v>4.0593652774160986</v>
      </c>
      <c r="AC270">
        <f>AB270/1000*一般構造素材物性!$I$37</f>
        <v>7.6113098951551845E-3</v>
      </c>
      <c r="AD270">
        <f>AA270/1000*0.001*一般構造素材物性!$H$19</f>
        <v>1.0008000000000001E-2</v>
      </c>
      <c r="AF270">
        <f t="shared" si="14"/>
        <v>4.5986398826355037</v>
      </c>
    </row>
    <row r="271" spans="17:32">
      <c r="Q271">
        <v>262</v>
      </c>
      <c r="R271">
        <v>-13.8</v>
      </c>
      <c r="S271">
        <v>20</v>
      </c>
      <c r="T271">
        <v>13.8</v>
      </c>
      <c r="U271">
        <v>20</v>
      </c>
      <c r="V271">
        <v>13.8</v>
      </c>
      <c r="W271">
        <v>-7.6000000000000014</v>
      </c>
      <c r="X271">
        <v>-13.8</v>
      </c>
      <c r="Y271">
        <v>-7.6000000000000014</v>
      </c>
      <c r="AA271">
        <f t="shared" si="12"/>
        <v>110.4</v>
      </c>
      <c r="AB271">
        <f t="shared" si="13"/>
        <v>4.0593652774160969</v>
      </c>
      <c r="AC271">
        <f>AB271/1000*一般構造素材物性!$I$37</f>
        <v>7.611309895155181E-3</v>
      </c>
      <c r="AD271">
        <f>AA271/1000*0.001*一般構造素材物性!$H$19</f>
        <v>9.9360000000000004E-3</v>
      </c>
      <c r="AF271">
        <f t="shared" si="14"/>
        <v>4.5973951925306578</v>
      </c>
    </row>
    <row r="272" spans="17:32">
      <c r="Q272">
        <v>263</v>
      </c>
      <c r="R272">
        <v>-13.700000000000001</v>
      </c>
      <c r="S272">
        <v>20</v>
      </c>
      <c r="T272">
        <v>13.700000000000001</v>
      </c>
      <c r="U272">
        <v>20</v>
      </c>
      <c r="V272">
        <v>13.700000000000001</v>
      </c>
      <c r="W272">
        <v>-7.4000000000000021</v>
      </c>
      <c r="X272">
        <v>-13.700000000000001</v>
      </c>
      <c r="Y272">
        <v>-7.4000000000000021</v>
      </c>
      <c r="AA272">
        <f t="shared" si="12"/>
        <v>109.60000000000001</v>
      </c>
      <c r="AB272">
        <f t="shared" si="13"/>
        <v>4.0593652774160969</v>
      </c>
      <c r="AC272">
        <f>AB272/1000*一般構造素材物性!$I$37</f>
        <v>7.611309895155181E-3</v>
      </c>
      <c r="AD272">
        <f>AA272/1000*0.001*一般構造素材物性!$H$19</f>
        <v>9.8640000000000012E-3</v>
      </c>
      <c r="AF272">
        <f t="shared" si="14"/>
        <v>4.5960065024258121</v>
      </c>
    </row>
    <row r="273" spans="17:32">
      <c r="Q273">
        <v>264</v>
      </c>
      <c r="R273">
        <v>-13.600000000000001</v>
      </c>
      <c r="S273">
        <v>20</v>
      </c>
      <c r="T273">
        <v>13.600000000000001</v>
      </c>
      <c r="U273">
        <v>20</v>
      </c>
      <c r="V273">
        <v>13.600000000000001</v>
      </c>
      <c r="W273">
        <v>-7.2000000000000028</v>
      </c>
      <c r="X273">
        <v>-13.600000000000001</v>
      </c>
      <c r="Y273">
        <v>-7.2000000000000028</v>
      </c>
      <c r="AA273">
        <f t="shared" si="12"/>
        <v>108.80000000000001</v>
      </c>
      <c r="AB273">
        <f t="shared" si="13"/>
        <v>4.0593652774160986</v>
      </c>
      <c r="AC273">
        <f>AB273/1000*一般構造素材物性!$I$37</f>
        <v>7.6113098951551845E-3</v>
      </c>
      <c r="AD273">
        <f>AA273/1000*0.001*一般構造素材物性!$H$19</f>
        <v>9.7920000000000021E-3</v>
      </c>
      <c r="AF273">
        <f t="shared" si="14"/>
        <v>4.5944738123209685</v>
      </c>
    </row>
    <row r="274" spans="17:32">
      <c r="Q274">
        <v>265</v>
      </c>
      <c r="R274">
        <v>-13.5</v>
      </c>
      <c r="S274">
        <v>20</v>
      </c>
      <c r="T274">
        <v>13.5</v>
      </c>
      <c r="U274">
        <v>20</v>
      </c>
      <c r="V274">
        <v>13.5</v>
      </c>
      <c r="W274">
        <v>-7.0000000000000018</v>
      </c>
      <c r="X274">
        <v>-13.5</v>
      </c>
      <c r="Y274">
        <v>-7.0000000000000018</v>
      </c>
      <c r="AA274">
        <f t="shared" si="12"/>
        <v>108</v>
      </c>
      <c r="AB274">
        <f t="shared" si="13"/>
        <v>4.059365277416096</v>
      </c>
      <c r="AC274">
        <f>AB274/1000*一般構造素材物性!$I$37</f>
        <v>7.6113098951551793E-3</v>
      </c>
      <c r="AD274">
        <f>AA274/1000*0.001*一般構造素材物性!$H$19</f>
        <v>9.7199999999999995E-3</v>
      </c>
      <c r="AF274">
        <f t="shared" si="14"/>
        <v>4.5927971222161226</v>
      </c>
    </row>
    <row r="275" spans="17:32">
      <c r="Q275">
        <v>266</v>
      </c>
      <c r="R275">
        <v>-13.400000000000002</v>
      </c>
      <c r="S275">
        <v>20</v>
      </c>
      <c r="T275">
        <v>13.400000000000002</v>
      </c>
      <c r="U275">
        <v>20</v>
      </c>
      <c r="V275">
        <v>13.400000000000002</v>
      </c>
      <c r="W275">
        <v>-6.8000000000000025</v>
      </c>
      <c r="X275">
        <v>-13.400000000000002</v>
      </c>
      <c r="Y275">
        <v>-6.8000000000000025</v>
      </c>
      <c r="AA275">
        <f t="shared" si="12"/>
        <v>107.20000000000002</v>
      </c>
      <c r="AB275">
        <f t="shared" si="13"/>
        <v>4.0593652774160986</v>
      </c>
      <c r="AC275">
        <f>AB275/1000*一般構造素材物性!$I$37</f>
        <v>7.6113098951551845E-3</v>
      </c>
      <c r="AD275">
        <f>AA275/1000*0.001*一般構造素材物性!$H$19</f>
        <v>9.6480000000000021E-3</v>
      </c>
      <c r="AF275">
        <f t="shared" si="14"/>
        <v>4.5909764321112796</v>
      </c>
    </row>
    <row r="276" spans="17:32">
      <c r="Q276">
        <v>267</v>
      </c>
      <c r="R276">
        <v>-13.3</v>
      </c>
      <c r="S276">
        <v>20</v>
      </c>
      <c r="T276">
        <v>13.3</v>
      </c>
      <c r="U276">
        <v>20</v>
      </c>
      <c r="V276">
        <v>13.3</v>
      </c>
      <c r="W276">
        <v>-6.6000000000000014</v>
      </c>
      <c r="X276">
        <v>-13.3</v>
      </c>
      <c r="Y276">
        <v>-6.6000000000000014</v>
      </c>
      <c r="AA276">
        <f t="shared" si="12"/>
        <v>106.4</v>
      </c>
      <c r="AB276">
        <f t="shared" si="13"/>
        <v>4.0593652774160969</v>
      </c>
      <c r="AC276">
        <f>AB276/1000*一般構造素材物性!$I$37</f>
        <v>7.611309895155181E-3</v>
      </c>
      <c r="AD276">
        <f>AA276/1000*0.001*一般構造素材物性!$H$19</f>
        <v>9.5760000000000012E-3</v>
      </c>
      <c r="AF276">
        <f t="shared" si="14"/>
        <v>4.5890117420064342</v>
      </c>
    </row>
    <row r="277" spans="17:32">
      <c r="Q277">
        <v>268</v>
      </c>
      <c r="R277">
        <v>-13.200000000000001</v>
      </c>
      <c r="S277">
        <v>20</v>
      </c>
      <c r="T277">
        <v>13.200000000000001</v>
      </c>
      <c r="U277">
        <v>20</v>
      </c>
      <c r="V277">
        <v>13.200000000000001</v>
      </c>
      <c r="W277">
        <v>-6.4000000000000021</v>
      </c>
      <c r="X277">
        <v>-13.200000000000001</v>
      </c>
      <c r="Y277">
        <v>-6.4000000000000021</v>
      </c>
      <c r="AA277">
        <f t="shared" si="12"/>
        <v>105.60000000000001</v>
      </c>
      <c r="AB277">
        <f t="shared" si="13"/>
        <v>4.0593652774160969</v>
      </c>
      <c r="AC277">
        <f>AB277/1000*一般構造素材物性!$I$37</f>
        <v>7.611309895155181E-3</v>
      </c>
      <c r="AD277">
        <f>AA277/1000*0.001*一般構造素材物性!$H$19</f>
        <v>9.504000000000002E-3</v>
      </c>
      <c r="AF277">
        <f t="shared" si="14"/>
        <v>4.5869030519015883</v>
      </c>
    </row>
    <row r="278" spans="17:32">
      <c r="Q278">
        <v>269</v>
      </c>
      <c r="R278">
        <v>-13.100000000000001</v>
      </c>
      <c r="S278">
        <v>20</v>
      </c>
      <c r="T278">
        <v>13.100000000000001</v>
      </c>
      <c r="U278">
        <v>20</v>
      </c>
      <c r="V278">
        <v>13.100000000000001</v>
      </c>
      <c r="W278">
        <v>-6.2000000000000028</v>
      </c>
      <c r="X278">
        <v>-13.100000000000001</v>
      </c>
      <c r="Y278">
        <v>-6.2000000000000028</v>
      </c>
      <c r="AA278">
        <f t="shared" si="12"/>
        <v>104.80000000000001</v>
      </c>
      <c r="AB278">
        <f t="shared" si="13"/>
        <v>4.0593652774160986</v>
      </c>
      <c r="AC278">
        <f>AB278/1000*一般構造素材物性!$I$37</f>
        <v>7.6113098951551845E-3</v>
      </c>
      <c r="AD278">
        <f>AA278/1000*0.001*一般構造素材物性!$H$19</f>
        <v>9.4320000000000029E-3</v>
      </c>
      <c r="AF278">
        <f t="shared" si="14"/>
        <v>4.5846503617967453</v>
      </c>
    </row>
    <row r="279" spans="17:32">
      <c r="Q279">
        <v>270</v>
      </c>
      <c r="R279">
        <v>-13</v>
      </c>
      <c r="S279">
        <v>20</v>
      </c>
      <c r="T279">
        <v>13</v>
      </c>
      <c r="U279">
        <v>20</v>
      </c>
      <c r="V279">
        <v>13</v>
      </c>
      <c r="W279">
        <v>-6.0000000000000018</v>
      </c>
      <c r="X279">
        <v>-13</v>
      </c>
      <c r="Y279">
        <v>-6.0000000000000018</v>
      </c>
      <c r="AA279">
        <f t="shared" si="12"/>
        <v>104</v>
      </c>
      <c r="AB279">
        <f t="shared" si="13"/>
        <v>4.059365277416096</v>
      </c>
      <c r="AC279">
        <f>AB279/1000*一般構造素材物性!$I$37</f>
        <v>7.6113098951551793E-3</v>
      </c>
      <c r="AD279">
        <f>AA279/1000*0.001*一般構造素材物性!$H$19</f>
        <v>9.3600000000000003E-3</v>
      </c>
      <c r="AF279">
        <f t="shared" si="14"/>
        <v>4.5822536716918982</v>
      </c>
    </row>
    <row r="280" spans="17:32">
      <c r="Q280">
        <v>271</v>
      </c>
      <c r="R280">
        <v>-12.900000000000002</v>
      </c>
      <c r="S280">
        <v>20</v>
      </c>
      <c r="T280">
        <v>12.900000000000002</v>
      </c>
      <c r="U280">
        <v>20</v>
      </c>
      <c r="V280">
        <v>12.900000000000002</v>
      </c>
      <c r="W280">
        <v>-5.8000000000000025</v>
      </c>
      <c r="X280">
        <v>-12.900000000000002</v>
      </c>
      <c r="Y280">
        <v>-5.8000000000000025</v>
      </c>
      <c r="AA280">
        <f t="shared" si="12"/>
        <v>103.20000000000002</v>
      </c>
      <c r="AB280">
        <f t="shared" si="13"/>
        <v>4.0593652774160986</v>
      </c>
      <c r="AC280">
        <f>AB280/1000*一般構造素材物性!$I$37</f>
        <v>7.6113098951551845E-3</v>
      </c>
      <c r="AD280">
        <f>AA280/1000*0.001*一般構造素材物性!$H$19</f>
        <v>9.2880000000000011E-3</v>
      </c>
      <c r="AF280">
        <f t="shared" si="14"/>
        <v>4.5797129815870559</v>
      </c>
    </row>
    <row r="281" spans="17:32">
      <c r="Q281">
        <v>272</v>
      </c>
      <c r="R281">
        <v>-12.8</v>
      </c>
      <c r="S281">
        <v>20</v>
      </c>
      <c r="T281">
        <v>12.8</v>
      </c>
      <c r="U281">
        <v>20</v>
      </c>
      <c r="V281">
        <v>12.8</v>
      </c>
      <c r="W281">
        <v>-5.6000000000000014</v>
      </c>
      <c r="X281">
        <v>-12.8</v>
      </c>
      <c r="Y281">
        <v>-5.6000000000000014</v>
      </c>
      <c r="AA281">
        <f t="shared" si="12"/>
        <v>102.4</v>
      </c>
      <c r="AB281">
        <f t="shared" si="13"/>
        <v>4.0593652774160969</v>
      </c>
      <c r="AC281">
        <f>AB281/1000*一般構造素材物性!$I$37</f>
        <v>7.611309895155181E-3</v>
      </c>
      <c r="AD281">
        <f>AA281/1000*0.001*一般構造素材物性!$H$19</f>
        <v>9.2160000000000002E-3</v>
      </c>
      <c r="AF281">
        <f t="shared" si="14"/>
        <v>4.5770282914822094</v>
      </c>
    </row>
    <row r="282" spans="17:32">
      <c r="Q282">
        <v>273</v>
      </c>
      <c r="R282">
        <v>-12.700000000000001</v>
      </c>
      <c r="S282">
        <v>20</v>
      </c>
      <c r="T282">
        <v>12.700000000000001</v>
      </c>
      <c r="U282">
        <v>20</v>
      </c>
      <c r="V282">
        <v>12.700000000000001</v>
      </c>
      <c r="W282">
        <v>-5.4000000000000021</v>
      </c>
      <c r="X282">
        <v>-12.700000000000001</v>
      </c>
      <c r="Y282">
        <v>-5.4000000000000021</v>
      </c>
      <c r="AA282">
        <f t="shared" si="12"/>
        <v>101.60000000000001</v>
      </c>
      <c r="AB282">
        <f t="shared" si="13"/>
        <v>4.0593652774160969</v>
      </c>
      <c r="AC282">
        <f>AB282/1000*一般構造素材物性!$I$37</f>
        <v>7.611309895155181E-3</v>
      </c>
      <c r="AD282">
        <f>AA282/1000*0.001*一般構造素材物性!$H$19</f>
        <v>9.1440000000000011E-3</v>
      </c>
      <c r="AF282">
        <f t="shared" si="14"/>
        <v>4.5741996013773649</v>
      </c>
    </row>
    <row r="283" spans="17:32">
      <c r="Q283">
        <v>274</v>
      </c>
      <c r="R283">
        <v>-12.600000000000001</v>
      </c>
      <c r="S283">
        <v>20</v>
      </c>
      <c r="T283">
        <v>12.600000000000001</v>
      </c>
      <c r="U283">
        <v>20</v>
      </c>
      <c r="V283">
        <v>12.600000000000001</v>
      </c>
      <c r="W283">
        <v>-5.2000000000000028</v>
      </c>
      <c r="X283">
        <v>-12.600000000000001</v>
      </c>
      <c r="Y283">
        <v>-5.2000000000000028</v>
      </c>
      <c r="AA283">
        <f t="shared" si="12"/>
        <v>100.80000000000001</v>
      </c>
      <c r="AB283">
        <f t="shared" si="13"/>
        <v>4.0593652774160986</v>
      </c>
      <c r="AC283">
        <f>AB283/1000*一般構造素材物性!$I$37</f>
        <v>7.6113098951551845E-3</v>
      </c>
      <c r="AD283">
        <f>AA283/1000*0.001*一般構造素材物性!$H$19</f>
        <v>9.0720000000000002E-3</v>
      </c>
      <c r="AF283">
        <f t="shared" si="14"/>
        <v>4.5712269112725208</v>
      </c>
    </row>
    <row r="284" spans="17:32">
      <c r="Q284">
        <v>275</v>
      </c>
      <c r="R284">
        <v>-12.5</v>
      </c>
      <c r="S284">
        <v>20</v>
      </c>
      <c r="T284">
        <v>12.5</v>
      </c>
      <c r="U284">
        <v>20</v>
      </c>
      <c r="V284">
        <v>12.5</v>
      </c>
      <c r="W284">
        <v>-5.0000000000000018</v>
      </c>
      <c r="X284">
        <v>-12.5</v>
      </c>
      <c r="Y284">
        <v>-5.0000000000000018</v>
      </c>
      <c r="AA284">
        <f t="shared" si="12"/>
        <v>100</v>
      </c>
      <c r="AB284">
        <f t="shared" si="13"/>
        <v>4.059365277416096</v>
      </c>
      <c r="AC284">
        <f>AB284/1000*一般構造素材物性!$I$37</f>
        <v>7.6113098951551793E-3</v>
      </c>
      <c r="AD284">
        <f>AA284/1000*0.001*一般構造素材物性!$H$19</f>
        <v>9.0000000000000011E-3</v>
      </c>
      <c r="AF284">
        <f t="shared" si="14"/>
        <v>4.5681102211676743</v>
      </c>
    </row>
    <row r="285" spans="17:32">
      <c r="Q285">
        <v>276</v>
      </c>
      <c r="R285">
        <v>-12.400000000000002</v>
      </c>
      <c r="S285">
        <v>20</v>
      </c>
      <c r="T285">
        <v>12.400000000000002</v>
      </c>
      <c r="U285">
        <v>20</v>
      </c>
      <c r="V285">
        <v>12.400000000000002</v>
      </c>
      <c r="W285">
        <v>-4.8000000000000025</v>
      </c>
      <c r="X285">
        <v>-12.400000000000002</v>
      </c>
      <c r="Y285">
        <v>-4.8000000000000025</v>
      </c>
      <c r="AA285">
        <f t="shared" si="12"/>
        <v>99.200000000000017</v>
      </c>
      <c r="AB285">
        <f t="shared" si="13"/>
        <v>4.0593652774160986</v>
      </c>
      <c r="AC285">
        <f>AB285/1000*一般構造素材物性!$I$37</f>
        <v>7.6113098951551845E-3</v>
      </c>
      <c r="AD285">
        <f>AA285/1000*0.001*一般構造素材物性!$H$19</f>
        <v>8.9280000000000019E-3</v>
      </c>
      <c r="AF285">
        <f t="shared" si="14"/>
        <v>4.5648495310628316</v>
      </c>
    </row>
    <row r="286" spans="17:32">
      <c r="Q286">
        <v>277</v>
      </c>
      <c r="R286">
        <v>-12.3</v>
      </c>
      <c r="S286">
        <v>20</v>
      </c>
      <c r="T286">
        <v>12.3</v>
      </c>
      <c r="U286">
        <v>20</v>
      </c>
      <c r="V286">
        <v>12.3</v>
      </c>
      <c r="W286">
        <v>-4.6000000000000014</v>
      </c>
      <c r="X286">
        <v>-12.3</v>
      </c>
      <c r="Y286">
        <v>-4.6000000000000014</v>
      </c>
      <c r="AA286">
        <f t="shared" si="12"/>
        <v>98.4</v>
      </c>
      <c r="AB286">
        <f t="shared" si="13"/>
        <v>4.0593652774160969</v>
      </c>
      <c r="AC286">
        <f>AB286/1000*一般構造素材物性!$I$37</f>
        <v>7.611309895155181E-3</v>
      </c>
      <c r="AD286">
        <f>AA286/1000*0.001*一般構造素材物性!$H$19</f>
        <v>8.856000000000001E-3</v>
      </c>
      <c r="AF286">
        <f t="shared" si="14"/>
        <v>4.5614448409579857</v>
      </c>
    </row>
    <row r="287" spans="17:32">
      <c r="Q287">
        <v>278</v>
      </c>
      <c r="R287">
        <v>-12.200000000000001</v>
      </c>
      <c r="S287">
        <v>20</v>
      </c>
      <c r="T287">
        <v>12.200000000000001</v>
      </c>
      <c r="U287">
        <v>20</v>
      </c>
      <c r="V287">
        <v>12.200000000000001</v>
      </c>
      <c r="W287">
        <v>-4.4000000000000021</v>
      </c>
      <c r="X287">
        <v>-12.200000000000001</v>
      </c>
      <c r="Y287">
        <v>-4.4000000000000021</v>
      </c>
      <c r="AA287">
        <f t="shared" si="12"/>
        <v>97.600000000000009</v>
      </c>
      <c r="AB287">
        <f t="shared" si="13"/>
        <v>4.0593652774160969</v>
      </c>
      <c r="AC287">
        <f>AB287/1000*一般構造素材物性!$I$37</f>
        <v>7.611309895155181E-3</v>
      </c>
      <c r="AD287">
        <f>AA287/1000*0.001*一般構造素材物性!$H$19</f>
        <v>8.7840000000000019E-3</v>
      </c>
      <c r="AF287">
        <f t="shared" si="14"/>
        <v>4.557896150853141</v>
      </c>
    </row>
    <row r="288" spans="17:32">
      <c r="Q288">
        <v>279</v>
      </c>
      <c r="R288">
        <v>-12.100000000000001</v>
      </c>
      <c r="S288">
        <v>20</v>
      </c>
      <c r="T288">
        <v>12.100000000000001</v>
      </c>
      <c r="U288">
        <v>20</v>
      </c>
      <c r="V288">
        <v>12.100000000000001</v>
      </c>
      <c r="W288">
        <v>-4.2000000000000028</v>
      </c>
      <c r="X288">
        <v>-12.100000000000001</v>
      </c>
      <c r="Y288">
        <v>-4.2000000000000028</v>
      </c>
      <c r="AA288">
        <f t="shared" si="12"/>
        <v>96.800000000000011</v>
      </c>
      <c r="AB288">
        <f t="shared" si="13"/>
        <v>4.0593652774160969</v>
      </c>
      <c r="AC288">
        <f>AB288/1000*一般構造素材物性!$I$37</f>
        <v>7.611309895155181E-3</v>
      </c>
      <c r="AD288">
        <f>AA288/1000*0.001*一般構造素材物性!$H$19</f>
        <v>8.712000000000001E-3</v>
      </c>
      <c r="AF288">
        <f t="shared" si="14"/>
        <v>4.5542034607482957</v>
      </c>
    </row>
    <row r="289" spans="17:32">
      <c r="Q289">
        <v>280</v>
      </c>
      <c r="R289">
        <v>-12.000000000000002</v>
      </c>
      <c r="S289">
        <v>20</v>
      </c>
      <c r="T289">
        <v>12.000000000000002</v>
      </c>
      <c r="U289">
        <v>20</v>
      </c>
      <c r="V289">
        <v>12.000000000000002</v>
      </c>
      <c r="W289">
        <v>-4.0000000000000036</v>
      </c>
      <c r="X289">
        <v>-12.000000000000002</v>
      </c>
      <c r="Y289">
        <v>-4.0000000000000036</v>
      </c>
      <c r="AA289">
        <f t="shared" si="12"/>
        <v>96.000000000000014</v>
      </c>
      <c r="AB289">
        <f t="shared" si="13"/>
        <v>4.0593652774160995</v>
      </c>
      <c r="AC289">
        <f>AB289/1000*一般構造素材物性!$I$37</f>
        <v>7.6113098951551862E-3</v>
      </c>
      <c r="AD289">
        <f>AA289/1000*0.001*一般構造素材物性!$H$19</f>
        <v>8.6400000000000018E-3</v>
      </c>
      <c r="AF289">
        <f t="shared" si="14"/>
        <v>4.5503667706434525</v>
      </c>
    </row>
    <row r="290" spans="17:32">
      <c r="Q290">
        <v>281</v>
      </c>
      <c r="R290">
        <v>-11.9</v>
      </c>
      <c r="S290">
        <v>20</v>
      </c>
      <c r="T290">
        <v>11.9</v>
      </c>
      <c r="U290">
        <v>20</v>
      </c>
      <c r="V290">
        <v>11.9</v>
      </c>
      <c r="W290">
        <v>-3.8000000000000007</v>
      </c>
      <c r="X290">
        <v>-11.9</v>
      </c>
      <c r="Y290">
        <v>-3.8000000000000007</v>
      </c>
      <c r="AA290">
        <f t="shared" si="12"/>
        <v>95.2</v>
      </c>
      <c r="AB290">
        <f t="shared" si="13"/>
        <v>4.0593652774160969</v>
      </c>
      <c r="AC290">
        <f>AB290/1000*一般構造素材物性!$I$37</f>
        <v>7.611309895155181E-3</v>
      </c>
      <c r="AD290">
        <f>AA290/1000*0.001*一般構造素材物性!$H$19</f>
        <v>8.568000000000001E-3</v>
      </c>
      <c r="AF290">
        <f t="shared" si="14"/>
        <v>4.546386080538606</v>
      </c>
    </row>
    <row r="291" spans="17:32">
      <c r="Q291">
        <v>282</v>
      </c>
      <c r="R291">
        <v>-11.8</v>
      </c>
      <c r="S291">
        <v>20</v>
      </c>
      <c r="T291">
        <v>11.8</v>
      </c>
      <c r="U291">
        <v>20</v>
      </c>
      <c r="V291">
        <v>11.8</v>
      </c>
      <c r="W291">
        <v>-3.6000000000000014</v>
      </c>
      <c r="X291">
        <v>-11.8</v>
      </c>
      <c r="Y291">
        <v>-3.6000000000000014</v>
      </c>
      <c r="AA291">
        <f t="shared" si="12"/>
        <v>94.4</v>
      </c>
      <c r="AB291">
        <f t="shared" si="13"/>
        <v>4.0593652774160969</v>
      </c>
      <c r="AC291">
        <f>AB291/1000*一般構造素材物性!$I$37</f>
        <v>7.611309895155181E-3</v>
      </c>
      <c r="AD291">
        <f>AA291/1000*0.001*一般構造素材物性!$H$19</f>
        <v>8.4960000000000018E-3</v>
      </c>
      <c r="AF291">
        <f t="shared" si="14"/>
        <v>4.5422613904337616</v>
      </c>
    </row>
    <row r="292" spans="17:32">
      <c r="Q292">
        <v>283</v>
      </c>
      <c r="R292">
        <v>-11.700000000000001</v>
      </c>
      <c r="S292">
        <v>20</v>
      </c>
      <c r="T292">
        <v>11.700000000000001</v>
      </c>
      <c r="U292">
        <v>20</v>
      </c>
      <c r="V292">
        <v>11.700000000000001</v>
      </c>
      <c r="W292">
        <v>-3.4000000000000021</v>
      </c>
      <c r="X292">
        <v>-11.700000000000001</v>
      </c>
      <c r="Y292">
        <v>-3.4000000000000021</v>
      </c>
      <c r="AA292">
        <f t="shared" si="12"/>
        <v>93.600000000000009</v>
      </c>
      <c r="AB292">
        <f t="shared" si="13"/>
        <v>4.0593652774160969</v>
      </c>
      <c r="AC292">
        <f>AB292/1000*一般構造素材物性!$I$37</f>
        <v>7.611309895155181E-3</v>
      </c>
      <c r="AD292">
        <f>AA292/1000*0.001*一般構造素材物性!$H$19</f>
        <v>8.4239999999999992E-3</v>
      </c>
      <c r="AF292">
        <f t="shared" si="14"/>
        <v>4.5379927003289158</v>
      </c>
    </row>
    <row r="293" spans="17:32">
      <c r="Q293">
        <v>284</v>
      </c>
      <c r="R293">
        <v>-11.600000000000001</v>
      </c>
      <c r="S293">
        <v>20</v>
      </c>
      <c r="T293">
        <v>11.600000000000001</v>
      </c>
      <c r="U293">
        <v>20</v>
      </c>
      <c r="V293">
        <v>11.600000000000001</v>
      </c>
      <c r="W293">
        <v>-3.2000000000000028</v>
      </c>
      <c r="X293">
        <v>-11.600000000000001</v>
      </c>
      <c r="Y293">
        <v>-3.2000000000000028</v>
      </c>
      <c r="AA293">
        <f t="shared" si="12"/>
        <v>92.800000000000011</v>
      </c>
      <c r="AB293">
        <f t="shared" si="13"/>
        <v>4.0593652774160969</v>
      </c>
      <c r="AC293">
        <f>AB293/1000*一般構造素材物性!$I$37</f>
        <v>7.611309895155181E-3</v>
      </c>
      <c r="AD293">
        <f>AA293/1000*0.001*一般構造素材物性!$H$19</f>
        <v>8.352E-3</v>
      </c>
      <c r="AF293">
        <f t="shared" si="14"/>
        <v>4.5335800102240711</v>
      </c>
    </row>
    <row r="294" spans="17:32">
      <c r="Q294">
        <v>285</v>
      </c>
      <c r="R294">
        <v>-11.500000000000002</v>
      </c>
      <c r="S294">
        <v>20</v>
      </c>
      <c r="T294">
        <v>11.500000000000002</v>
      </c>
      <c r="U294">
        <v>20</v>
      </c>
      <c r="V294">
        <v>11.500000000000002</v>
      </c>
      <c r="W294">
        <v>-3.0000000000000036</v>
      </c>
      <c r="X294">
        <v>-11.500000000000002</v>
      </c>
      <c r="Y294">
        <v>-3.0000000000000036</v>
      </c>
      <c r="AA294">
        <f t="shared" si="12"/>
        <v>92.000000000000014</v>
      </c>
      <c r="AB294">
        <f t="shared" si="13"/>
        <v>4.0593652774160995</v>
      </c>
      <c r="AC294">
        <f>AB294/1000*一般構造素材物性!$I$37</f>
        <v>7.6113098951551862E-3</v>
      </c>
      <c r="AD294">
        <f>AA294/1000*0.001*一般構造素材物性!$H$19</f>
        <v>8.2800000000000009E-3</v>
      </c>
      <c r="AF294">
        <f t="shared" si="14"/>
        <v>4.5290233201192276</v>
      </c>
    </row>
    <row r="295" spans="17:32">
      <c r="Q295">
        <v>286</v>
      </c>
      <c r="R295">
        <v>-11.4</v>
      </c>
      <c r="S295">
        <v>20</v>
      </c>
      <c r="T295">
        <v>11.4</v>
      </c>
      <c r="U295">
        <v>20</v>
      </c>
      <c r="V295">
        <v>11.4</v>
      </c>
      <c r="W295">
        <v>-2.8000000000000007</v>
      </c>
      <c r="X295">
        <v>-11.4</v>
      </c>
      <c r="Y295">
        <v>-2.8000000000000007</v>
      </c>
      <c r="AA295">
        <f t="shared" si="12"/>
        <v>91.2</v>
      </c>
      <c r="AB295">
        <f t="shared" si="13"/>
        <v>4.0593652774160969</v>
      </c>
      <c r="AC295">
        <f>AB295/1000*一般構造素材物性!$I$37</f>
        <v>7.611309895155181E-3</v>
      </c>
      <c r="AD295">
        <f>AA295/1000*0.001*一般構造素材物性!$H$19</f>
        <v>8.208E-3</v>
      </c>
      <c r="AF295">
        <f t="shared" si="14"/>
        <v>4.5243226300143826</v>
      </c>
    </row>
    <row r="296" spans="17:32">
      <c r="Q296">
        <v>287</v>
      </c>
      <c r="R296">
        <v>-11.3</v>
      </c>
      <c r="S296">
        <v>20</v>
      </c>
      <c r="T296">
        <v>11.3</v>
      </c>
      <c r="U296">
        <v>20</v>
      </c>
      <c r="V296">
        <v>11.3</v>
      </c>
      <c r="W296">
        <v>-2.6000000000000014</v>
      </c>
      <c r="X296">
        <v>-11.3</v>
      </c>
      <c r="Y296">
        <v>-2.6000000000000014</v>
      </c>
      <c r="AA296">
        <f t="shared" si="12"/>
        <v>90.4</v>
      </c>
      <c r="AB296">
        <f t="shared" si="13"/>
        <v>4.0593652774160969</v>
      </c>
      <c r="AC296">
        <f>AB296/1000*一般構造素材物性!$I$37</f>
        <v>7.611309895155181E-3</v>
      </c>
      <c r="AD296">
        <f>AA296/1000*0.001*一般構造素材物性!$H$19</f>
        <v>8.1360000000000009E-3</v>
      </c>
      <c r="AF296">
        <f t="shared" si="14"/>
        <v>4.5194779399095371</v>
      </c>
    </row>
    <row r="297" spans="17:32">
      <c r="Q297">
        <v>288</v>
      </c>
      <c r="R297">
        <v>-11.200000000000001</v>
      </c>
      <c r="S297">
        <v>20</v>
      </c>
      <c r="T297">
        <v>11.200000000000001</v>
      </c>
      <c r="U297">
        <v>20</v>
      </c>
      <c r="V297">
        <v>11.200000000000001</v>
      </c>
      <c r="W297">
        <v>-2.4000000000000021</v>
      </c>
      <c r="X297">
        <v>-11.200000000000001</v>
      </c>
      <c r="Y297">
        <v>-2.4000000000000021</v>
      </c>
      <c r="AA297">
        <f t="shared" si="12"/>
        <v>89.600000000000009</v>
      </c>
      <c r="AB297">
        <f t="shared" si="13"/>
        <v>4.0593652774160969</v>
      </c>
      <c r="AC297">
        <f>AB297/1000*一般構造素材物性!$I$37</f>
        <v>7.611309895155181E-3</v>
      </c>
      <c r="AD297">
        <f>AA297/1000*0.001*一般構造素材物性!$H$19</f>
        <v>8.0640000000000017E-3</v>
      </c>
      <c r="AF297">
        <f t="shared" si="14"/>
        <v>4.5144892498046936</v>
      </c>
    </row>
    <row r="298" spans="17:32">
      <c r="Q298">
        <v>289</v>
      </c>
      <c r="R298">
        <v>-11.100000000000001</v>
      </c>
      <c r="S298">
        <v>20</v>
      </c>
      <c r="T298">
        <v>11.100000000000001</v>
      </c>
      <c r="U298">
        <v>20</v>
      </c>
      <c r="V298">
        <v>11.100000000000001</v>
      </c>
      <c r="W298">
        <v>-2.2000000000000028</v>
      </c>
      <c r="X298">
        <v>-11.100000000000001</v>
      </c>
      <c r="Y298">
        <v>-2.2000000000000028</v>
      </c>
      <c r="AA298">
        <f t="shared" si="12"/>
        <v>88.800000000000011</v>
      </c>
      <c r="AB298">
        <f t="shared" si="13"/>
        <v>4.0593652774160969</v>
      </c>
      <c r="AC298">
        <f>AB298/1000*一般構造素材物性!$I$37</f>
        <v>7.611309895155181E-3</v>
      </c>
      <c r="AD298">
        <f>AA298/1000*0.001*一般構造素材物性!$H$19</f>
        <v>7.9920000000000008E-3</v>
      </c>
      <c r="AF298">
        <f t="shared" si="14"/>
        <v>4.5093565596998477</v>
      </c>
    </row>
    <row r="299" spans="17:32">
      <c r="Q299">
        <v>290</v>
      </c>
      <c r="R299">
        <v>-11.000000000000002</v>
      </c>
      <c r="S299">
        <v>20</v>
      </c>
      <c r="T299">
        <v>11.000000000000002</v>
      </c>
      <c r="U299">
        <v>20</v>
      </c>
      <c r="V299">
        <v>11.000000000000002</v>
      </c>
      <c r="W299">
        <v>-2.0000000000000036</v>
      </c>
      <c r="X299">
        <v>-11.000000000000002</v>
      </c>
      <c r="Y299">
        <v>-2.0000000000000036</v>
      </c>
      <c r="AA299">
        <f t="shared" si="12"/>
        <v>88.000000000000014</v>
      </c>
      <c r="AB299">
        <f t="shared" si="13"/>
        <v>4.0593652774160995</v>
      </c>
      <c r="AC299">
        <f>AB299/1000*一般構造素材物性!$I$37</f>
        <v>7.6113098951551862E-3</v>
      </c>
      <c r="AD299">
        <f>AA299/1000*0.001*一般構造素材物性!$H$19</f>
        <v>7.9200000000000017E-3</v>
      </c>
      <c r="AF299">
        <f t="shared" si="14"/>
        <v>4.5040798695950048</v>
      </c>
    </row>
    <row r="300" spans="17:32">
      <c r="Q300">
        <v>291</v>
      </c>
      <c r="R300">
        <v>-10.9</v>
      </c>
      <c r="S300">
        <v>20</v>
      </c>
      <c r="T300">
        <v>10.9</v>
      </c>
      <c r="U300">
        <v>20</v>
      </c>
      <c r="V300">
        <v>10.9</v>
      </c>
      <c r="W300">
        <v>-1.8000000000000007</v>
      </c>
      <c r="X300">
        <v>-10.9</v>
      </c>
      <c r="Y300">
        <v>-1.8000000000000007</v>
      </c>
      <c r="AA300">
        <f t="shared" si="12"/>
        <v>87.2</v>
      </c>
      <c r="AB300">
        <f t="shared" si="13"/>
        <v>4.0593652774160969</v>
      </c>
      <c r="AC300">
        <f>AB300/1000*一般構造素材物性!$I$37</f>
        <v>7.611309895155181E-3</v>
      </c>
      <c r="AD300">
        <f>AA300/1000*0.001*一般構造素材物性!$H$19</f>
        <v>7.8480000000000008E-3</v>
      </c>
      <c r="AF300">
        <f t="shared" si="14"/>
        <v>4.4986591794901578</v>
      </c>
    </row>
    <row r="301" spans="17:32">
      <c r="Q301">
        <v>292</v>
      </c>
      <c r="R301">
        <v>-10.8</v>
      </c>
      <c r="S301">
        <v>20</v>
      </c>
      <c r="T301">
        <v>10.8</v>
      </c>
      <c r="U301">
        <v>20</v>
      </c>
      <c r="V301">
        <v>10.8</v>
      </c>
      <c r="W301">
        <v>-1.6000000000000014</v>
      </c>
      <c r="X301">
        <v>-10.8</v>
      </c>
      <c r="Y301">
        <v>-1.6000000000000014</v>
      </c>
      <c r="AA301">
        <f t="shared" si="12"/>
        <v>86.4</v>
      </c>
      <c r="AB301">
        <f t="shared" si="13"/>
        <v>4.0593652774160969</v>
      </c>
      <c r="AC301">
        <f>AB301/1000*一般構造素材物性!$I$37</f>
        <v>7.611309895155181E-3</v>
      </c>
      <c r="AD301">
        <f>AA301/1000*0.001*一般構造素材物性!$H$19</f>
        <v>7.7760000000000008E-3</v>
      </c>
      <c r="AF301">
        <f t="shared" si="14"/>
        <v>4.4930944893853129</v>
      </c>
    </row>
    <row r="302" spans="17:32">
      <c r="Q302">
        <v>293</v>
      </c>
      <c r="R302">
        <v>-10.700000000000001</v>
      </c>
      <c r="S302">
        <v>20</v>
      </c>
      <c r="T302">
        <v>10.700000000000001</v>
      </c>
      <c r="U302">
        <v>20</v>
      </c>
      <c r="V302">
        <v>10.700000000000001</v>
      </c>
      <c r="W302">
        <v>-1.4000000000000021</v>
      </c>
      <c r="X302">
        <v>-10.700000000000001</v>
      </c>
      <c r="Y302">
        <v>-1.4000000000000021</v>
      </c>
      <c r="AA302">
        <f t="shared" si="12"/>
        <v>85.600000000000009</v>
      </c>
      <c r="AB302">
        <f t="shared" si="13"/>
        <v>4.0593652774160969</v>
      </c>
      <c r="AC302">
        <f>AB302/1000*一般構造素材物性!$I$37</f>
        <v>7.611309895155181E-3</v>
      </c>
      <c r="AD302">
        <f>AA302/1000*0.001*一般構造素材物性!$H$19</f>
        <v>7.7040000000000008E-3</v>
      </c>
      <c r="AF302">
        <f t="shared" si="14"/>
        <v>4.4873857992804682</v>
      </c>
    </row>
    <row r="303" spans="17:32">
      <c r="Q303">
        <v>294</v>
      </c>
      <c r="R303">
        <v>-10.600000000000001</v>
      </c>
      <c r="S303">
        <v>20</v>
      </c>
      <c r="T303">
        <v>10.600000000000001</v>
      </c>
      <c r="U303">
        <v>20</v>
      </c>
      <c r="V303">
        <v>10.600000000000001</v>
      </c>
      <c r="W303">
        <v>-1.2000000000000028</v>
      </c>
      <c r="X303">
        <v>-10.600000000000001</v>
      </c>
      <c r="Y303">
        <v>-1.2000000000000028</v>
      </c>
      <c r="AA303">
        <f t="shared" si="12"/>
        <v>84.800000000000011</v>
      </c>
      <c r="AB303">
        <f t="shared" si="13"/>
        <v>4.0593652774160995</v>
      </c>
      <c r="AC303">
        <f>AB303/1000*一般構造素材物性!$I$37</f>
        <v>7.6113098951551862E-3</v>
      </c>
      <c r="AD303">
        <f>AA303/1000*0.001*一般構造素材物性!$H$19</f>
        <v>7.6320000000000016E-3</v>
      </c>
      <c r="AF303">
        <f t="shared" si="14"/>
        <v>4.4815331091756256</v>
      </c>
    </row>
    <row r="304" spans="17:32">
      <c r="Q304">
        <v>295</v>
      </c>
      <c r="R304">
        <v>-10.5</v>
      </c>
      <c r="S304">
        <v>20</v>
      </c>
      <c r="T304">
        <v>10.5</v>
      </c>
      <c r="U304">
        <v>20</v>
      </c>
      <c r="V304">
        <v>10.5</v>
      </c>
      <c r="W304">
        <v>-1</v>
      </c>
      <c r="X304">
        <v>-10.5</v>
      </c>
      <c r="Y304">
        <v>-1</v>
      </c>
      <c r="AA304">
        <f t="shared" si="12"/>
        <v>84</v>
      </c>
      <c r="AB304">
        <f t="shared" si="13"/>
        <v>4.0593652774160969</v>
      </c>
      <c r="AC304">
        <f>AB304/1000*一般構造素材物性!$I$37</f>
        <v>7.611309895155181E-3</v>
      </c>
      <c r="AD304">
        <f>AA304/1000*0.001*一般構造素材物性!$H$19</f>
        <v>7.5600000000000007E-3</v>
      </c>
      <c r="AF304">
        <f t="shared" si="14"/>
        <v>4.4755364190707789</v>
      </c>
    </row>
    <row r="305" spans="17:32">
      <c r="Q305">
        <v>296</v>
      </c>
      <c r="R305">
        <v>-10.4</v>
      </c>
      <c r="S305">
        <v>20</v>
      </c>
      <c r="T305">
        <v>10.4</v>
      </c>
      <c r="U305">
        <v>20</v>
      </c>
      <c r="V305">
        <v>10.4</v>
      </c>
      <c r="W305">
        <v>-0.80000000000000071</v>
      </c>
      <c r="X305">
        <v>-10.4</v>
      </c>
      <c r="Y305">
        <v>-0.80000000000000071</v>
      </c>
      <c r="AA305">
        <f t="shared" si="12"/>
        <v>83.2</v>
      </c>
      <c r="AB305">
        <f t="shared" si="13"/>
        <v>4.0593652774160969</v>
      </c>
      <c r="AC305">
        <f>AB305/1000*一般構造素材物性!$I$37</f>
        <v>7.611309895155181E-3</v>
      </c>
      <c r="AD305">
        <f>AA305/1000*0.001*一般構造素材物性!$H$19</f>
        <v>7.4879999999999999E-3</v>
      </c>
      <c r="AF305">
        <f t="shared" si="14"/>
        <v>4.4693957289659334</v>
      </c>
    </row>
    <row r="306" spans="17:32">
      <c r="Q306">
        <v>297</v>
      </c>
      <c r="R306">
        <v>-10.3</v>
      </c>
      <c r="S306">
        <v>20</v>
      </c>
      <c r="T306">
        <v>10.3</v>
      </c>
      <c r="U306">
        <v>20</v>
      </c>
      <c r="V306">
        <v>10.3</v>
      </c>
      <c r="W306">
        <v>-0.60000000000000142</v>
      </c>
      <c r="X306">
        <v>-10.3</v>
      </c>
      <c r="Y306">
        <v>-0.60000000000000142</v>
      </c>
      <c r="AA306">
        <f t="shared" si="12"/>
        <v>82.4</v>
      </c>
      <c r="AB306">
        <f t="shared" si="13"/>
        <v>4.0593652774160969</v>
      </c>
      <c r="AC306">
        <f>AB306/1000*一般構造素材物性!$I$37</f>
        <v>7.611309895155181E-3</v>
      </c>
      <c r="AD306">
        <f>AA306/1000*0.001*一般構造素材物性!$H$19</f>
        <v>7.4159999999999998E-3</v>
      </c>
      <c r="AF306">
        <f t="shared" si="14"/>
        <v>4.4631110388610891</v>
      </c>
    </row>
    <row r="307" spans="17:32">
      <c r="Q307">
        <v>298</v>
      </c>
      <c r="R307">
        <v>-10.200000000000001</v>
      </c>
      <c r="S307">
        <v>20</v>
      </c>
      <c r="T307">
        <v>10.200000000000001</v>
      </c>
      <c r="U307">
        <v>20</v>
      </c>
      <c r="V307">
        <v>10.200000000000001</v>
      </c>
      <c r="W307">
        <v>-0.40000000000000213</v>
      </c>
      <c r="X307">
        <v>-10.200000000000001</v>
      </c>
      <c r="Y307">
        <v>-0.40000000000000213</v>
      </c>
      <c r="AA307">
        <f t="shared" si="12"/>
        <v>81.600000000000009</v>
      </c>
      <c r="AB307">
        <f t="shared" si="13"/>
        <v>4.0593652774160969</v>
      </c>
      <c r="AC307">
        <f>AB307/1000*一般構造素材物性!$I$37</f>
        <v>7.611309895155181E-3</v>
      </c>
      <c r="AD307">
        <f>AA307/1000*0.001*一般構造素材物性!$H$19</f>
        <v>7.3440000000000007E-3</v>
      </c>
      <c r="AF307">
        <f t="shared" si="14"/>
        <v>4.4566823487562441</v>
      </c>
    </row>
    <row r="308" spans="17:32">
      <c r="Q308">
        <v>299</v>
      </c>
      <c r="R308">
        <v>-10.100000000000001</v>
      </c>
      <c r="S308">
        <v>20</v>
      </c>
      <c r="T308">
        <v>10.100000000000001</v>
      </c>
      <c r="U308">
        <v>20</v>
      </c>
      <c r="V308">
        <v>10.100000000000001</v>
      </c>
      <c r="W308">
        <v>-0.20000000000000284</v>
      </c>
      <c r="X308">
        <v>-10.100000000000001</v>
      </c>
      <c r="Y308">
        <v>-0.20000000000000284</v>
      </c>
      <c r="AA308">
        <f t="shared" si="12"/>
        <v>80.800000000000011</v>
      </c>
      <c r="AB308">
        <f t="shared" si="13"/>
        <v>4.0593652774160995</v>
      </c>
      <c r="AC308">
        <f>AB308/1000*一般構造素材物性!$I$37</f>
        <v>7.6113098951551862E-3</v>
      </c>
      <c r="AD308">
        <f>AA308/1000*0.001*一般構造素材物性!$H$19</f>
        <v>7.2720000000000007E-3</v>
      </c>
      <c r="AF308">
        <f t="shared" si="14"/>
        <v>4.4501096586514013</v>
      </c>
    </row>
    <row r="309" spans="17:32">
      <c r="Q309">
        <v>300</v>
      </c>
      <c r="R309">
        <v>-10</v>
      </c>
      <c r="S309">
        <v>20</v>
      </c>
      <c r="T309">
        <v>10</v>
      </c>
      <c r="U309">
        <v>20</v>
      </c>
      <c r="V309">
        <v>10</v>
      </c>
      <c r="W309">
        <v>0</v>
      </c>
      <c r="X309">
        <v>-10</v>
      </c>
      <c r="Y309">
        <v>0</v>
      </c>
      <c r="AA309">
        <f t="shared" si="12"/>
        <v>80</v>
      </c>
      <c r="AB309">
        <f t="shared" si="13"/>
        <v>64.865809813440563</v>
      </c>
      <c r="AC309">
        <f>AB309/1000*一般構造素材物性!$I$37</f>
        <v>0.12162339340020105</v>
      </c>
      <c r="AD309">
        <f>AA309/1000*0.001*一般構造素材物性!$H$19</f>
        <v>7.2000000000000007E-3</v>
      </c>
      <c r="AF309">
        <f t="shared" si="14"/>
        <v>38.647018020060315</v>
      </c>
    </row>
  </sheetData>
  <mergeCells count="8">
    <mergeCell ref="B30:C30"/>
    <mergeCell ref="B38:C38"/>
    <mergeCell ref="A1:C2"/>
    <mergeCell ref="R7:Y7"/>
    <mergeCell ref="F7:M7"/>
    <mergeCell ref="AA7:AD7"/>
    <mergeCell ref="B20:C20"/>
    <mergeCell ref="B6:C6"/>
  </mergeCells>
  <phoneticPr fontId="4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DA08F-7704-44D2-AF93-750DC1BBC6B8}">
  <sheetPr>
    <tabColor rgb="FF92D050"/>
  </sheetPr>
  <dimension ref="A1:J27"/>
  <sheetViews>
    <sheetView topLeftCell="E1" zoomScale="150" zoomScaleNormal="80" workbookViewId="0">
      <selection activeCell="J16" sqref="J16"/>
    </sheetView>
  </sheetViews>
  <sheetFormatPr baseColWidth="10" defaultColWidth="8.83203125" defaultRowHeight="17"/>
  <cols>
    <col min="6" max="6" width="22.5" customWidth="1"/>
    <col min="9" max="9" width="21.83203125" customWidth="1"/>
    <col min="13" max="13" width="13.33203125" bestFit="1" customWidth="1"/>
  </cols>
  <sheetData>
    <row r="1" spans="1:10">
      <c r="A1" s="126" t="s">
        <v>140</v>
      </c>
      <c r="B1" s="126"/>
      <c r="C1" s="126"/>
    </row>
    <row r="2" spans="1:10">
      <c r="A2" s="126"/>
      <c r="B2" s="126"/>
      <c r="C2" s="126"/>
    </row>
    <row r="6" spans="1:10">
      <c r="F6" s="32" t="s">
        <v>141</v>
      </c>
    </row>
    <row r="7" spans="1:10">
      <c r="F7" s="31" t="s">
        <v>142</v>
      </c>
      <c r="I7" s="31" t="s">
        <v>145</v>
      </c>
    </row>
    <row r="8" spans="1:10">
      <c r="F8" s="16" t="s">
        <v>144</v>
      </c>
      <c r="G8" s="17">
        <v>0.35</v>
      </c>
      <c r="I8" s="16" t="s">
        <v>144</v>
      </c>
      <c r="J8" s="17">
        <v>2.5000000000000001E-2</v>
      </c>
    </row>
    <row r="9" spans="1:10">
      <c r="F9" s="16" t="s">
        <v>143</v>
      </c>
      <c r="G9" s="17">
        <f>空力安定性!G24*1000</f>
        <v>400</v>
      </c>
      <c r="I9" s="16" t="s">
        <v>143</v>
      </c>
      <c r="J9" s="17">
        <f>空力安定性!G25*1000</f>
        <v>400</v>
      </c>
    </row>
    <row r="10" spans="1:10">
      <c r="F10" s="16" t="s">
        <v>147</v>
      </c>
      <c r="G10" s="52">
        <v>260</v>
      </c>
      <c r="I10" s="16" t="s">
        <v>147</v>
      </c>
      <c r="J10" s="52">
        <v>150</v>
      </c>
    </row>
    <row r="11" spans="1:10">
      <c r="F11" s="16" t="s">
        <v>149</v>
      </c>
      <c r="G11" s="52">
        <v>160</v>
      </c>
      <c r="I11" s="16" t="s">
        <v>149</v>
      </c>
      <c r="J11" s="52">
        <v>130</v>
      </c>
    </row>
    <row r="12" spans="1:10">
      <c r="F12" s="16" t="s">
        <v>150</v>
      </c>
      <c r="G12" s="52">
        <v>160</v>
      </c>
      <c r="I12" s="16" t="s">
        <v>150</v>
      </c>
      <c r="J12" s="52">
        <v>50</v>
      </c>
    </row>
    <row r="13" spans="1:10">
      <c r="F13" s="16" t="s">
        <v>148</v>
      </c>
      <c r="G13" s="17">
        <f>G12/G11</f>
        <v>1</v>
      </c>
      <c r="I13" s="16" t="s">
        <v>148</v>
      </c>
      <c r="J13" s="17">
        <f>J12/J11</f>
        <v>0.38461538461538464</v>
      </c>
    </row>
    <row r="14" spans="1:10">
      <c r="F14" s="16" t="s">
        <v>513</v>
      </c>
      <c r="G14" s="17">
        <f>(G11+G12)/2*G10</f>
        <v>41600</v>
      </c>
      <c r="I14" s="16" t="s">
        <v>513</v>
      </c>
      <c r="J14" s="17">
        <f>(J11+J12)/2*J10</f>
        <v>13500</v>
      </c>
    </row>
    <row r="15" spans="1:10">
      <c r="F15" s="16" t="s">
        <v>154</v>
      </c>
      <c r="G15" s="17">
        <f>G10^2/G14</f>
        <v>1.625</v>
      </c>
      <c r="I15" s="16" t="s">
        <v>154</v>
      </c>
      <c r="J15" s="17">
        <f>J10^2/J14</f>
        <v>1.6666666666666667</v>
      </c>
    </row>
    <row r="16" spans="1:10">
      <c r="E16">
        <f>164*0.3</f>
        <v>49.199999999999996</v>
      </c>
      <c r="F16" s="16" t="s">
        <v>514</v>
      </c>
      <c r="G16" s="17">
        <f>G9/1000*G14/10^6/主翼細分計算!E3/空力安定性!G36</f>
        <v>0.36047409598724173</v>
      </c>
      <c r="I16" s="16" t="s">
        <v>514</v>
      </c>
      <c r="J16" s="17">
        <f>J9/1000*J14/10^6/空力安定性!G36/空力安定性!G47</f>
        <v>2.511627906976744E-2</v>
      </c>
    </row>
    <row r="17" spans="5:10">
      <c r="E17">
        <f>164-49</f>
        <v>115</v>
      </c>
      <c r="F17" s="16"/>
      <c r="G17" s="17">
        <f>空力安定性!G4</f>
        <v>0.34581058712346258</v>
      </c>
      <c r="I17" s="16"/>
      <c r="J17" s="17"/>
    </row>
    <row r="18" spans="5:10">
      <c r="E18">
        <f>115/186</f>
        <v>0.61827956989247312</v>
      </c>
      <c r="F18" s="16"/>
      <c r="G18" s="52"/>
      <c r="I18" s="16"/>
      <c r="J18" s="52"/>
    </row>
    <row r="19" spans="5:10">
      <c r="F19" s="16"/>
      <c r="G19" s="52"/>
      <c r="I19" s="16"/>
      <c r="J19" s="52"/>
    </row>
    <row r="20" spans="5:10">
      <c r="F20" s="16"/>
      <c r="G20" s="17"/>
      <c r="I20" s="16"/>
      <c r="J20" s="17"/>
    </row>
    <row r="21" spans="5:10">
      <c r="F21" s="16"/>
      <c r="G21" s="17"/>
      <c r="I21" s="16"/>
      <c r="J21" s="17"/>
    </row>
    <row r="22" spans="5:10">
      <c r="F22" s="16"/>
      <c r="G22" s="17"/>
      <c r="I22" s="16"/>
      <c r="J22" s="17"/>
    </row>
    <row r="24" spans="5:10">
      <c r="F24" s="16" t="s">
        <v>211</v>
      </c>
      <c r="G24" s="17">
        <v>3</v>
      </c>
    </row>
    <row r="26" spans="5:10">
      <c r="G26">
        <f>8700/10^6</f>
        <v>8.6999999999999994E-3</v>
      </c>
    </row>
    <row r="27" spans="5:10">
      <c r="G27">
        <f>G26*一般構造素材物性!H13+G10*一般構造素材物性!H22</f>
        <v>2706.4857142857145</v>
      </c>
    </row>
  </sheetData>
  <mergeCells count="1">
    <mergeCell ref="A1:C2"/>
  </mergeCells>
  <phoneticPr fontId="45"/>
  <pageMargins left="0.7" right="0.7" top="0.75" bottom="0.75" header="0.3" footer="0.3"/>
  <pageSetup paperSize="9" orientation="portrait" horizontalDpi="4294967294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F1C6-5D8C-4490-979E-0130D304E788}">
  <dimension ref="A1:AL79"/>
  <sheetViews>
    <sheetView zoomScale="114" zoomScaleNormal="108"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G32" sqref="G32"/>
    </sheetView>
  </sheetViews>
  <sheetFormatPr baseColWidth="10" defaultColWidth="8.83203125" defaultRowHeight="17"/>
  <cols>
    <col min="1" max="1" width="27.5" bestFit="1" customWidth="1"/>
    <col min="4" max="4" width="31.6640625" bestFit="1" customWidth="1"/>
    <col min="7" max="7" width="15.33203125" bestFit="1" customWidth="1"/>
    <col min="8" max="8" width="14.33203125" bestFit="1" customWidth="1"/>
    <col min="9" max="9" width="12.33203125" bestFit="1" customWidth="1"/>
    <col min="10" max="10" width="46.83203125" bestFit="1" customWidth="1"/>
    <col min="11" max="11" width="22" bestFit="1" customWidth="1"/>
    <col min="12" max="12" width="23.1640625" bestFit="1" customWidth="1"/>
    <col min="17" max="17" width="16.5" bestFit="1" customWidth="1"/>
    <col min="19" max="19" width="17.1640625" bestFit="1" customWidth="1"/>
    <col min="23" max="23" width="12.6640625" bestFit="1" customWidth="1"/>
    <col min="24" max="25" width="19.1640625" bestFit="1" customWidth="1"/>
    <col min="39" max="39" width="18.1640625" bestFit="1" customWidth="1"/>
  </cols>
  <sheetData>
    <row r="1" spans="1:37" ht="18.75" customHeight="1">
      <c r="A1" s="127" t="s">
        <v>246</v>
      </c>
      <c r="B1" s="127"/>
      <c r="C1" s="70"/>
      <c r="D1" s="64"/>
      <c r="G1" t="s">
        <v>465</v>
      </c>
      <c r="H1">
        <f>H3-G3</f>
        <v>0</v>
      </c>
    </row>
    <row r="2" spans="1:37" ht="18.75" customHeight="1">
      <c r="A2" s="127"/>
      <c r="B2" s="127"/>
      <c r="C2" s="70"/>
      <c r="D2" s="64"/>
      <c r="E2" t="s">
        <v>374</v>
      </c>
      <c r="F2" t="s">
        <v>375</v>
      </c>
      <c r="G2" t="s">
        <v>443</v>
      </c>
      <c r="H2" t="s">
        <v>444</v>
      </c>
      <c r="I2" t="s">
        <v>494</v>
      </c>
      <c r="J2" t="s">
        <v>462</v>
      </c>
      <c r="K2" t="s">
        <v>463</v>
      </c>
      <c r="L2" t="s">
        <v>464</v>
      </c>
    </row>
    <row r="3" spans="1:37" ht="18.75" customHeight="1">
      <c r="A3" s="70"/>
      <c r="B3" s="70"/>
      <c r="C3" s="70"/>
      <c r="D3" s="64"/>
      <c r="G3">
        <f>G4*G28*1000</f>
        <v>74.247030008413702</v>
      </c>
      <c r="H3">
        <f>H4*G28*1000</f>
        <v>74.247030008413702</v>
      </c>
      <c r="J3" t="s">
        <v>446</v>
      </c>
      <c r="K3" t="s">
        <v>447</v>
      </c>
      <c r="L3" t="s">
        <v>448</v>
      </c>
    </row>
    <row r="4" spans="1:37">
      <c r="D4" t="s">
        <v>377</v>
      </c>
      <c r="E4" t="str">
        <f>IF(AND(AK8&gt;0,AK9&gt;0,AK10&gt;0,AK11&gt;0,Y8&gt;0,Y9&gt;0,Y10&gt;0,Y11&gt;0),"安定","不安定")</f>
        <v>安定</v>
      </c>
      <c r="F4" t="str">
        <f>IF(AND(AK20&gt;0,AK21&gt;0,AK22&gt;0,AK23&gt;0,Y20&gt;0,Y21&gt;0,Y22&gt;0,Y2&gt;0),"安定","不安定")</f>
        <v>不安定</v>
      </c>
      <c r="G4">
        <f>G35+(G10*(1-G16)*G13-2*G15)/M12</f>
        <v>0.34581058712346258</v>
      </c>
      <c r="H4">
        <f>M9/(2*G33-M8)+G35+(G10*(1-G16)*G13-2*G15)/M12</f>
        <v>0.34581058712346258</v>
      </c>
      <c r="J4" t="str">
        <f>IF(M19&lt;0,"安定"&amp;M19,"不安定")</f>
        <v>安定-3.14899882737457</v>
      </c>
      <c r="K4" t="str">
        <f>IF(M20/M19&gt;0,"安定"&amp;M20/M19,"不安定")</f>
        <v>安定0.447129069820623</v>
      </c>
      <c r="L4" t="str">
        <f>IF(M21&gt;0,"安定"&amp;M21,"不安定")</f>
        <v>安定0.0624360921186691</v>
      </c>
    </row>
    <row r="6" spans="1:37">
      <c r="A6">
        <f>0.6/1.28</f>
        <v>0.46875</v>
      </c>
      <c r="D6" t="s">
        <v>247</v>
      </c>
      <c r="E6" t="s">
        <v>278</v>
      </c>
      <c r="F6" t="s">
        <v>279</v>
      </c>
      <c r="G6" t="s">
        <v>280</v>
      </c>
      <c r="H6" t="s">
        <v>281</v>
      </c>
      <c r="I6" t="s">
        <v>282</v>
      </c>
      <c r="J6" t="s">
        <v>351</v>
      </c>
      <c r="L6" t="s">
        <v>284</v>
      </c>
      <c r="M6" t="s">
        <v>280</v>
      </c>
      <c r="N6" t="s">
        <v>281</v>
      </c>
      <c r="O6" t="s">
        <v>282</v>
      </c>
      <c r="Q6" t="s">
        <v>362</v>
      </c>
      <c r="S6" t="s">
        <v>325</v>
      </c>
      <c r="T6" t="s">
        <v>280</v>
      </c>
      <c r="U6" t="s">
        <v>281</v>
      </c>
      <c r="V6" t="s">
        <v>282</v>
      </c>
      <c r="X6" t="s">
        <v>372</v>
      </c>
      <c r="Y6" t="s">
        <v>280</v>
      </c>
      <c r="Z6" t="s">
        <v>281</v>
      </c>
      <c r="AA6" t="s">
        <v>282</v>
      </c>
      <c r="AC6" t="s">
        <v>324</v>
      </c>
      <c r="AJ6" t="s">
        <v>322</v>
      </c>
    </row>
    <row r="7" spans="1:37">
      <c r="A7">
        <f>3.94/4.84</f>
        <v>0.81404958677685957</v>
      </c>
      <c r="D7" t="s">
        <v>248</v>
      </c>
      <c r="E7" t="s">
        <v>252</v>
      </c>
      <c r="F7" t="s">
        <v>257</v>
      </c>
      <c r="G7">
        <v>4</v>
      </c>
      <c r="H7">
        <v>4</v>
      </c>
      <c r="I7">
        <v>4</v>
      </c>
      <c r="J7" t="s">
        <v>359</v>
      </c>
      <c r="L7" t="s">
        <v>285</v>
      </c>
      <c r="M7">
        <f>-G32/G7-2*G32</f>
        <v>-0.20234176873684781</v>
      </c>
      <c r="Q7" t="s">
        <v>368</v>
      </c>
      <c r="S7" t="s">
        <v>299</v>
      </c>
      <c r="T7">
        <f>rho*G7*G36/2/G37*M7</f>
        <v>-0.68181818181818188</v>
      </c>
      <c r="X7" t="s">
        <v>311</v>
      </c>
      <c r="Y7">
        <v>1</v>
      </c>
      <c r="Z7">
        <v>1</v>
      </c>
      <c r="AA7">
        <v>1</v>
      </c>
      <c r="AC7" t="s">
        <v>317</v>
      </c>
      <c r="AD7" t="s">
        <v>315</v>
      </c>
      <c r="AE7" t="s">
        <v>314</v>
      </c>
      <c r="AF7" t="s">
        <v>313</v>
      </c>
      <c r="AG7" t="s">
        <v>312</v>
      </c>
      <c r="AH7" t="s">
        <v>311</v>
      </c>
    </row>
    <row r="8" spans="1:37">
      <c r="D8" t="s">
        <v>378</v>
      </c>
      <c r="E8" t="s">
        <v>379</v>
      </c>
      <c r="F8" t="s">
        <v>258</v>
      </c>
      <c r="G8">
        <f>2*PI()*0.9</f>
        <v>5.6548667764616276</v>
      </c>
      <c r="H8">
        <f>G8</f>
        <v>5.6548667764616276</v>
      </c>
      <c r="I8">
        <f>G8</f>
        <v>5.6548667764616276</v>
      </c>
      <c r="J8" t="s">
        <v>434</v>
      </c>
      <c r="L8" t="s">
        <v>286</v>
      </c>
      <c r="M8">
        <v>0</v>
      </c>
      <c r="Q8" t="s">
        <v>368</v>
      </c>
      <c r="S8" t="s">
        <v>305</v>
      </c>
      <c r="T8">
        <f>rho*G7*G36/2/G37*(M8-2*G33)</f>
        <v>-4.9000000000000004</v>
      </c>
      <c r="X8" t="s">
        <v>312</v>
      </c>
      <c r="Y8">
        <f>-T7-T11/G7-T16-(G7+T15)*T14/G7</f>
        <v>19.613935687105752</v>
      </c>
      <c r="Z8">
        <f>Y8</f>
        <v>19.613935687105752</v>
      </c>
      <c r="AA8">
        <f>Y8</f>
        <v>19.613935687105752</v>
      </c>
      <c r="AC8" t="s">
        <v>318</v>
      </c>
      <c r="AD8">
        <f>Z11</f>
        <v>0.99970751564580529</v>
      </c>
      <c r="AE8">
        <f>Z10</f>
        <v>43.645480822344197</v>
      </c>
      <c r="AF8">
        <f>AA9</f>
        <v>48.116672776327448</v>
      </c>
      <c r="AG8">
        <f>AA8</f>
        <v>19.613935687105752</v>
      </c>
      <c r="AH8">
        <v>1</v>
      </c>
      <c r="AJ8" t="s">
        <v>323</v>
      </c>
      <c r="AK8">
        <f>AE8*AF8*AG8-AE8*AE8-AD8*AG8*AG8</f>
        <v>38901.220294141967</v>
      </c>
    </row>
    <row r="9" spans="1:37">
      <c r="D9" t="s">
        <v>249</v>
      </c>
      <c r="E9" t="s">
        <v>253</v>
      </c>
      <c r="F9" t="s">
        <v>258</v>
      </c>
      <c r="G9">
        <f>G8/(1+G7/PI()/G29)</f>
        <v>4.4395543124620049</v>
      </c>
      <c r="H9">
        <f>G9</f>
        <v>4.4395543124620049</v>
      </c>
      <c r="I9">
        <f>G9</f>
        <v>4.4395543124620049</v>
      </c>
      <c r="J9" t="s">
        <v>435</v>
      </c>
      <c r="L9" t="s">
        <v>287</v>
      </c>
      <c r="M9">
        <f>M7*G45</f>
        <v>0</v>
      </c>
      <c r="Q9" t="s">
        <v>371</v>
      </c>
      <c r="S9" t="s">
        <v>306</v>
      </c>
      <c r="T9">
        <f>rho*G7*G36*G28/2/G40*M9</f>
        <v>0</v>
      </c>
      <c r="X9" t="s">
        <v>313</v>
      </c>
      <c r="Y9">
        <f>-(G7+T15)*(T13/G7-T7*T14/G7)-T8*T10/G7+T11/G7*T16+(T11/G7+T15)*T7</f>
        <v>48.116672776327448</v>
      </c>
      <c r="Z9">
        <f>Y9</f>
        <v>48.116672776327448</v>
      </c>
      <c r="AA9">
        <f>Y9</f>
        <v>48.116672776327448</v>
      </c>
      <c r="AC9" t="s">
        <v>319</v>
      </c>
      <c r="AD9">
        <f>AA11</f>
        <v>0.99970751564580529</v>
      </c>
      <c r="AE9">
        <f>Z10</f>
        <v>43.645480822344197</v>
      </c>
      <c r="AF9">
        <f>Z9</f>
        <v>48.116672776327448</v>
      </c>
      <c r="AG9">
        <f>AA8</f>
        <v>19.613935687105752</v>
      </c>
      <c r="AH9">
        <v>1</v>
      </c>
      <c r="AJ9" t="s">
        <v>319</v>
      </c>
      <c r="AK9">
        <f>AE9*AF9*AG9-AE9*AE9-AD9*AG9*AG9</f>
        <v>38901.220294141967</v>
      </c>
    </row>
    <row r="10" spans="1:37">
      <c r="D10" t="s">
        <v>386</v>
      </c>
      <c r="E10" t="s">
        <v>389</v>
      </c>
      <c r="F10" t="s">
        <v>258</v>
      </c>
      <c r="G10">
        <f>G8/(1+G7/PI()/G30)</f>
        <v>3.1706000728762529</v>
      </c>
      <c r="H10">
        <f>G10</f>
        <v>3.1706000728762529</v>
      </c>
      <c r="I10">
        <f>G10</f>
        <v>3.1706000728762529</v>
      </c>
      <c r="J10" t="s">
        <v>435</v>
      </c>
      <c r="L10" t="s">
        <v>288</v>
      </c>
      <c r="M10">
        <f>G33*(1-2*M12/G46/PI()/G29)</f>
        <v>0.14487039382325806</v>
      </c>
      <c r="Q10" t="s">
        <v>440</v>
      </c>
      <c r="S10" t="s">
        <v>308</v>
      </c>
      <c r="T10">
        <f>rho*G7^2*G36/2/G37*M10</f>
        <v>1.9526421881646847</v>
      </c>
      <c r="X10" t="s">
        <v>314</v>
      </c>
      <c r="Y10">
        <f>(G7+T15)*(T7*T13/G7-T9*T10/G7)-(T7*T11/G7-T8*T10/G7)*T16+9.8*(T9+T8*T14/G7)</f>
        <v>43.645480822344197</v>
      </c>
      <c r="Z10">
        <f>Y10</f>
        <v>43.645480822344197</v>
      </c>
      <c r="AA10">
        <f>Y10</f>
        <v>43.645480822344197</v>
      </c>
      <c r="AC10" t="s">
        <v>320</v>
      </c>
      <c r="AD10">
        <f>AA11</f>
        <v>0.99970751564580529</v>
      </c>
      <c r="AE10">
        <f>AA10</f>
        <v>43.645480822344197</v>
      </c>
      <c r="AF10">
        <f>Z9</f>
        <v>48.116672776327448</v>
      </c>
      <c r="AG10">
        <f>Z8</f>
        <v>19.613935687105752</v>
      </c>
      <c r="AH10">
        <v>1</v>
      </c>
      <c r="AJ10" t="s">
        <v>320</v>
      </c>
      <c r="AK10">
        <f>AE10*AF10*AG10-AE10*AE10-AD10*AG10*AG10</f>
        <v>38901.220294141967</v>
      </c>
    </row>
    <row r="11" spans="1:37">
      <c r="A11" t="s">
        <v>471</v>
      </c>
      <c r="D11" t="s">
        <v>387</v>
      </c>
      <c r="E11" t="s">
        <v>388</v>
      </c>
      <c r="F11" t="s">
        <v>258</v>
      </c>
      <c r="G11">
        <f>G8/(1+G7/PI()/G31)</f>
        <v>3.2058090575193492</v>
      </c>
      <c r="H11">
        <f>G11</f>
        <v>3.2058090575193492</v>
      </c>
      <c r="I11">
        <f>G11</f>
        <v>3.2058090575193492</v>
      </c>
      <c r="J11" t="s">
        <v>435</v>
      </c>
      <c r="L11" t="s">
        <v>289</v>
      </c>
      <c r="M11">
        <f>-M12</f>
        <v>-4.6802471099672145</v>
      </c>
      <c r="Q11" t="s">
        <v>440</v>
      </c>
      <c r="S11" t="s">
        <v>307</v>
      </c>
      <c r="T11">
        <f>rho*G7^2*G36/2/G37*M11</f>
        <v>-63.082923410198099</v>
      </c>
      <c r="X11" t="s">
        <v>315</v>
      </c>
      <c r="Y11">
        <f>9.8*(T8*T13/G7-T9*T11/G7)</f>
        <v>0.99970751564580529</v>
      </c>
      <c r="Z11">
        <f>Y11</f>
        <v>0.99970751564580529</v>
      </c>
      <c r="AA11">
        <f>Y11</f>
        <v>0.99970751564580529</v>
      </c>
      <c r="AC11" t="s">
        <v>321</v>
      </c>
      <c r="AD11">
        <f>Z11</f>
        <v>0.99970751564580529</v>
      </c>
      <c r="AE11">
        <f>AA10</f>
        <v>43.645480822344197</v>
      </c>
      <c r="AF11">
        <f>AA9</f>
        <v>48.116672776327448</v>
      </c>
      <c r="AG11">
        <f>Z8</f>
        <v>19.613935687105752</v>
      </c>
      <c r="AH11">
        <v>1</v>
      </c>
      <c r="AJ11" t="s">
        <v>321</v>
      </c>
      <c r="AK11">
        <f>AE11*AF11*AG11-AE11*AE11-AD11*AG11*AG11</f>
        <v>38901.220294141967</v>
      </c>
    </row>
    <row r="12" spans="1:37">
      <c r="D12" t="s">
        <v>453</v>
      </c>
      <c r="E12" t="s">
        <v>454</v>
      </c>
      <c r="F12" t="s">
        <v>455</v>
      </c>
      <c r="G12">
        <f>G33*(1-2*M12/PI()/G46/G29)</f>
        <v>0.14487039382325798</v>
      </c>
      <c r="L12" t="s">
        <v>290</v>
      </c>
      <c r="M12">
        <f>G9*(1+G10/G9*G22*(1-G16))</f>
        <v>4.6802471099672145</v>
      </c>
    </row>
    <row r="13" spans="1:37">
      <c r="D13" t="s">
        <v>250</v>
      </c>
      <c r="E13" t="s">
        <v>254</v>
      </c>
      <c r="F13" t="s">
        <v>358</v>
      </c>
      <c r="G13">
        <f>G22*G24/G28</f>
        <v>0.36047409598724178</v>
      </c>
      <c r="L13" t="s">
        <v>291</v>
      </c>
      <c r="M13">
        <f>G9*((G27-G35)-G13*G10/G9*(1-G16)+G15*2/G9)</f>
        <v>-4.4617922426472313E-3</v>
      </c>
      <c r="Q13" t="s">
        <v>441</v>
      </c>
      <c r="S13" t="s">
        <v>309</v>
      </c>
      <c r="T13">
        <f>rho*G7^2*G36*G28/2/G40*M13</f>
        <v>-8.3274262027972112E-2</v>
      </c>
    </row>
    <row r="14" spans="1:37">
      <c r="D14" t="s">
        <v>251</v>
      </c>
      <c r="E14" t="s">
        <v>255</v>
      </c>
      <c r="F14" t="s">
        <v>358</v>
      </c>
      <c r="G14">
        <f>G23*G25/G47</f>
        <v>2.511627906976744E-2</v>
      </c>
      <c r="L14" t="s">
        <v>366</v>
      </c>
      <c r="M14">
        <f>-2*G13*G24/G28*G10*G16</f>
        <v>-2.5877520973100827</v>
      </c>
      <c r="Q14" t="s">
        <v>370</v>
      </c>
      <c r="S14" t="s">
        <v>367</v>
      </c>
      <c r="T14">
        <f>rho*G7*G36*G28^2/4/G40*M14</f>
        <v>-1.2962086984320162</v>
      </c>
    </row>
    <row r="15" spans="1:37">
      <c r="A15" t="s">
        <v>469</v>
      </c>
      <c r="B15">
        <f>T27</f>
        <v>-1626.1184536222431</v>
      </c>
      <c r="D15" t="s">
        <v>364</v>
      </c>
      <c r="E15" t="s">
        <v>365</v>
      </c>
      <c r="L15" t="s">
        <v>293</v>
      </c>
      <c r="M15">
        <f>-2*G13*G10</f>
        <v>-2.2858383900143004</v>
      </c>
      <c r="Q15" t="s">
        <v>369</v>
      </c>
      <c r="S15" t="s">
        <v>373</v>
      </c>
      <c r="T15">
        <f>rho*G7*G36*G28/4/G37*M15</f>
        <v>-0.82687405187842988</v>
      </c>
    </row>
    <row r="16" spans="1:37">
      <c r="A16" t="s">
        <v>470</v>
      </c>
      <c r="B16">
        <f>-1/B15</f>
        <v>6.1496135030782075E-4</v>
      </c>
      <c r="C16" t="s">
        <v>472</v>
      </c>
      <c r="D16" t="s">
        <v>256</v>
      </c>
      <c r="E16" t="s">
        <v>259</v>
      </c>
      <c r="F16" t="s">
        <v>358</v>
      </c>
      <c r="G16">
        <f>2*G9/PI()/G29</f>
        <v>0.60765623199981145</v>
      </c>
      <c r="L16" t="s">
        <v>292</v>
      </c>
      <c r="M16">
        <f>-2*G13*G24/G28*G10</f>
        <v>-4.2585790468958535</v>
      </c>
      <c r="Q16" t="s">
        <v>370</v>
      </c>
      <c r="S16" t="s">
        <v>310</v>
      </c>
      <c r="T16">
        <f>rho*G7*G36*G28^2/4/G40*M16</f>
        <v>-2.1331282889441647</v>
      </c>
    </row>
    <row r="17" spans="1:37">
      <c r="D17" t="s">
        <v>260</v>
      </c>
      <c r="E17" t="s">
        <v>277</v>
      </c>
      <c r="F17" t="s">
        <v>358</v>
      </c>
      <c r="G17">
        <v>1</v>
      </c>
      <c r="L17" t="s">
        <v>442</v>
      </c>
      <c r="M17">
        <f>-G13*G10</f>
        <v>-1.1429191950071502</v>
      </c>
      <c r="T17">
        <f>rho*G7*G36*G28^2/4/G40*M17</f>
        <v>-0.57248984696530103</v>
      </c>
    </row>
    <row r="18" spans="1:37">
      <c r="A18" t="s">
        <v>467</v>
      </c>
      <c r="B18">
        <f>SQRT(ABS(T23-T28/T27*T22))</f>
        <v>36.287241000548391</v>
      </c>
      <c r="C18" t="s">
        <v>473</v>
      </c>
      <c r="X18" t="s">
        <v>326</v>
      </c>
      <c r="Y18" t="s">
        <v>316</v>
      </c>
      <c r="Z18" t="s">
        <v>281</v>
      </c>
      <c r="AA18" t="s">
        <v>282</v>
      </c>
      <c r="AC18" t="s">
        <v>324</v>
      </c>
      <c r="AJ18" t="s">
        <v>322</v>
      </c>
    </row>
    <row r="19" spans="1:37">
      <c r="A19" t="s">
        <v>468</v>
      </c>
      <c r="B19">
        <f>-(T33-T28/T27*T32+T28/T27/T27*T22)/2/B18</f>
        <v>0.32791383563265408</v>
      </c>
      <c r="C19" t="s">
        <v>474</v>
      </c>
      <c r="J19" t="s">
        <v>478</v>
      </c>
      <c r="L19" t="s">
        <v>330</v>
      </c>
      <c r="M19">
        <f>主翼細分計算!AI3*空力安定性!G8-G23*G11</f>
        <v>-3.1489988273745722</v>
      </c>
      <c r="Q19" t="s">
        <v>440</v>
      </c>
      <c r="S19" t="s">
        <v>339</v>
      </c>
      <c r="T19">
        <f>M19*rho*G7^2*G36/2/G37</f>
        <v>-42.443923831078514</v>
      </c>
      <c r="X19" t="s">
        <v>311</v>
      </c>
      <c r="Y19">
        <v>1</v>
      </c>
      <c r="Z19">
        <v>1</v>
      </c>
      <c r="AA19">
        <v>1</v>
      </c>
      <c r="AC19" t="s">
        <v>317</v>
      </c>
      <c r="AD19" t="s">
        <v>315</v>
      </c>
      <c r="AE19" t="s">
        <v>314</v>
      </c>
      <c r="AF19" t="s">
        <v>313</v>
      </c>
      <c r="AG19" t="s">
        <v>312</v>
      </c>
      <c r="AH19" t="s">
        <v>311</v>
      </c>
    </row>
    <row r="20" spans="1:37">
      <c r="A20" t="s">
        <v>484</v>
      </c>
      <c r="B20">
        <f>B18*B19</f>
        <v>11.899088381016332</v>
      </c>
      <c r="C20" t="s">
        <v>475</v>
      </c>
      <c r="D20" t="s">
        <v>416</v>
      </c>
      <c r="E20" t="s">
        <v>376</v>
      </c>
      <c r="F20" t="s">
        <v>296</v>
      </c>
      <c r="G20">
        <f>尾翼計算!G14/10^6</f>
        <v>4.1599999999999998E-2</v>
      </c>
      <c r="H20">
        <f>SQRT(G20)</f>
        <v>0.20396078054371139</v>
      </c>
      <c r="J20">
        <f>SQRT(G20)*1000</f>
        <v>203.96078054371139</v>
      </c>
      <c r="L20" t="s">
        <v>331</v>
      </c>
      <c r="M20">
        <f>主翼細分計算!AJ3*空力安定性!G8</f>
        <v>-1.4080089165502256</v>
      </c>
      <c r="Q20" t="s">
        <v>456</v>
      </c>
      <c r="S20" t="s">
        <v>340</v>
      </c>
      <c r="T20">
        <f>M20*rho*G7^2*G36*G47/2/G38</f>
        <v>-1254.8361875455055</v>
      </c>
      <c r="X20" t="s">
        <v>312</v>
      </c>
      <c r="Y20">
        <f>-(T27+T33)-T24/G7</f>
        <v>1632.2378217275682</v>
      </c>
      <c r="Z20">
        <f>Y20</f>
        <v>1632.2378217275682</v>
      </c>
      <c r="AA20">
        <f>Y20</f>
        <v>1632.2378217275682</v>
      </c>
      <c r="AC20" t="s">
        <v>318</v>
      </c>
      <c r="AD20">
        <f>Z23</f>
        <v>11121.568433474247</v>
      </c>
      <c r="AE20">
        <f>Z22</f>
        <v>2568285.0020479392</v>
      </c>
      <c r="AF20">
        <f>AA21</f>
        <v>57318.189779085245</v>
      </c>
      <c r="AG20">
        <f>AA20</f>
        <v>1632.2378217275682</v>
      </c>
      <c r="AH20">
        <v>1</v>
      </c>
      <c r="AJ20" t="s">
        <v>318</v>
      </c>
      <c r="AK20">
        <f>AE20*AF20*AG20-AE20*AE20-AD20*AG20*AG20</f>
        <v>233655109422853.56</v>
      </c>
    </row>
    <row r="21" spans="1:37">
      <c r="A21" t="s">
        <v>466</v>
      </c>
      <c r="B21">
        <f>-B28/B27</f>
        <v>-4.3303482380677993E-3</v>
      </c>
      <c r="D21" t="s">
        <v>417</v>
      </c>
      <c r="E21" t="s">
        <v>418</v>
      </c>
      <c r="F21" t="s">
        <v>296</v>
      </c>
      <c r="G21">
        <f>尾翼計算!J14/10^6</f>
        <v>1.35E-2</v>
      </c>
      <c r="H21">
        <f>SQRT(G21)</f>
        <v>0.1161895003862225</v>
      </c>
      <c r="L21" t="s">
        <v>332</v>
      </c>
      <c r="M21">
        <f>主翼細分計算!AK3*空力安定性!G12+G14*G11-2*G15*G28/G47</f>
        <v>6.2436092118669073E-2</v>
      </c>
      <c r="Q21" t="s">
        <v>457</v>
      </c>
      <c r="S21" t="s">
        <v>341</v>
      </c>
      <c r="T21">
        <f>M21*rho*G7^2*G36*G47/2/G39</f>
        <v>27.821935954563937</v>
      </c>
      <c r="X21" t="s">
        <v>313</v>
      </c>
      <c r="Y21">
        <f>(T27*T33-T28*T32)+(T27+T33)*T19/G7+T23</f>
        <v>57318.189779085245</v>
      </c>
      <c r="Z21">
        <f>Y21</f>
        <v>57318.189779085245</v>
      </c>
      <c r="AA21">
        <f>Y21</f>
        <v>57318.189779085245</v>
      </c>
      <c r="AC21" t="s">
        <v>319</v>
      </c>
      <c r="AD21">
        <f>AA23</f>
        <v>11121.568433474247</v>
      </c>
      <c r="AE21">
        <f>Z22</f>
        <v>2568285.0020479392</v>
      </c>
      <c r="AF21">
        <f>Z21</f>
        <v>57318.189779085245</v>
      </c>
      <c r="AG21">
        <f>AA20</f>
        <v>1632.2378217275682</v>
      </c>
      <c r="AH21">
        <v>1</v>
      </c>
      <c r="AJ21" t="s">
        <v>319</v>
      </c>
      <c r="AK21">
        <f>AE21*AF21*AG21-AE21*AE21-AD21*AG21*AG21</f>
        <v>233655109422853.56</v>
      </c>
    </row>
    <row r="22" spans="1:37">
      <c r="A22" t="s">
        <v>476</v>
      </c>
      <c r="B22">
        <f>-1/B21*LN(0.5)</f>
        <v>-160.06730693539498</v>
      </c>
      <c r="C22" t="s">
        <v>477</v>
      </c>
      <c r="D22" s="52" t="s">
        <v>261</v>
      </c>
      <c r="E22" t="s">
        <v>276</v>
      </c>
      <c r="F22" t="s">
        <v>358</v>
      </c>
      <c r="G22">
        <f>G20/G36</f>
        <v>0.19348837209302322</v>
      </c>
      <c r="L22" t="s">
        <v>333</v>
      </c>
      <c r="M22">
        <f>主翼細分計算!AL3*空力安定性!G8</f>
        <v>-3.7752148899042655</v>
      </c>
      <c r="S22" t="s">
        <v>398</v>
      </c>
      <c r="T22">
        <f>(T20+($G$41/$G$38)*T21)/(1-($G$41^2/$G$38/$G$39))</f>
        <v>-1257.5868771001446</v>
      </c>
      <c r="X22" t="s">
        <v>314</v>
      </c>
      <c r="Y22">
        <f>-(T27*T33-T28*T32)*T19/G7+G7*(T22/G7*T28-T23/G7*T27)-9.8*T22/G7</f>
        <v>2568285.0020479392</v>
      </c>
      <c r="Z22">
        <f>Y22</f>
        <v>2568285.0020479392</v>
      </c>
      <c r="AA22">
        <f>Y22</f>
        <v>2568285.0020479392</v>
      </c>
      <c r="AC22" t="s">
        <v>320</v>
      </c>
      <c r="AD22">
        <f>AA23</f>
        <v>11121.568433474247</v>
      </c>
      <c r="AE22">
        <f>AA22</f>
        <v>2568285.0020479392</v>
      </c>
      <c r="AF22">
        <f>Z21</f>
        <v>57318.189779085245</v>
      </c>
      <c r="AG22">
        <f>Z20</f>
        <v>1632.2378217275682</v>
      </c>
      <c r="AH22">
        <v>1</v>
      </c>
      <c r="AJ22" t="s">
        <v>320</v>
      </c>
      <c r="AK22">
        <f>AE22*AF22*AG22-AE22*AE22-AD22*AG22*AG22</f>
        <v>233655109422853.56</v>
      </c>
    </row>
    <row r="23" spans="1:37">
      <c r="D23" s="52" t="s">
        <v>392</v>
      </c>
      <c r="E23" t="s">
        <v>393</v>
      </c>
      <c r="F23" t="s">
        <v>358</v>
      </c>
      <c r="G23">
        <f>G21/G36</f>
        <v>6.2790697674418597E-2</v>
      </c>
      <c r="L23" t="s">
        <v>334</v>
      </c>
      <c r="M23">
        <f>主翼細分計算!AM3*空力安定性!G8</f>
        <v>-14.580693680507819</v>
      </c>
      <c r="S23" t="s">
        <v>399</v>
      </c>
      <c r="T23">
        <f>(T21+($G$41/$G$39)*T20)/(1-($G$41^2/$G$38/$G$39))</f>
        <v>57.764480647424527</v>
      </c>
      <c r="X23" t="s">
        <v>315</v>
      </c>
      <c r="Y23">
        <f>9.8*(T22/G7*T33-T23/G7*T32)</f>
        <v>11121.568433474247</v>
      </c>
      <c r="Z23">
        <f>Y23</f>
        <v>11121.568433474247</v>
      </c>
      <c r="AA23">
        <f>Y23</f>
        <v>11121.568433474247</v>
      </c>
      <c r="AC23" t="s">
        <v>321</v>
      </c>
      <c r="AD23">
        <f>Z23</f>
        <v>11121.568433474247</v>
      </c>
      <c r="AE23">
        <f>AA22</f>
        <v>2568285.0020479392</v>
      </c>
      <c r="AF23">
        <f>AA21</f>
        <v>57318.189779085245</v>
      </c>
      <c r="AG23">
        <f>Z20</f>
        <v>1632.2378217275682</v>
      </c>
      <c r="AH23">
        <v>1</v>
      </c>
      <c r="AJ23" t="s">
        <v>321</v>
      </c>
      <c r="AK23">
        <f>AE23*AF23*AG23-AE23*AE23-AD23*AG23*AG23</f>
        <v>233655109422853.56</v>
      </c>
    </row>
    <row r="24" spans="1:37">
      <c r="B24" t="s">
        <v>461</v>
      </c>
      <c r="D24" t="s">
        <v>262</v>
      </c>
      <c r="E24" t="s">
        <v>275</v>
      </c>
      <c r="F24" t="s">
        <v>283</v>
      </c>
      <c r="G24">
        <v>0.4</v>
      </c>
      <c r="L24" t="s">
        <v>335</v>
      </c>
      <c r="M24">
        <f>主翼細分計算!AN3*空力安定性!G12</f>
        <v>-1.4561778188265269E-2</v>
      </c>
      <c r="Q24" t="s">
        <v>458</v>
      </c>
      <c r="S24" t="s">
        <v>342</v>
      </c>
      <c r="T24">
        <f>M22*rho*G7*G36*G47/4/G37</f>
        <v>-6.3605506867814325</v>
      </c>
    </row>
    <row r="25" spans="1:37">
      <c r="B25">
        <f>Y20</f>
        <v>1632.2378217275682</v>
      </c>
      <c r="D25" t="s">
        <v>390</v>
      </c>
      <c r="E25" t="s">
        <v>391</v>
      </c>
      <c r="F25" t="s">
        <v>283</v>
      </c>
      <c r="G25">
        <v>0.4</v>
      </c>
      <c r="L25" t="s">
        <v>336</v>
      </c>
      <c r="M25">
        <f>主翼細分計算!AO3*空力安定性!G33+G23*G11*2*G25/G47</f>
        <v>0.28986419265946417</v>
      </c>
      <c r="Q25" t="s">
        <v>459</v>
      </c>
      <c r="S25" t="s">
        <v>343</v>
      </c>
      <c r="T25">
        <f>M23*rho*G7*G36*G47^2/4/G38</f>
        <v>-1624.3134058629926</v>
      </c>
    </row>
    <row r="26" spans="1:37">
      <c r="B26">
        <f>Y21</f>
        <v>57318.189779085245</v>
      </c>
      <c r="D26" t="s">
        <v>384</v>
      </c>
      <c r="E26" t="s">
        <v>385</v>
      </c>
      <c r="F26" t="s">
        <v>283</v>
      </c>
      <c r="G26">
        <v>0.05</v>
      </c>
      <c r="L26" t="s">
        <v>337</v>
      </c>
      <c r="M26">
        <f>主翼細分計算!AP3*空力安定性!G33+G26/G47*G23*G11*2*G25/G47</f>
        <v>0.17778028282426683</v>
      </c>
      <c r="Q26" t="s">
        <v>460</v>
      </c>
      <c r="S26" t="s">
        <v>344</v>
      </c>
      <c r="T26">
        <f>M24*rho*G7*G36*G47^2/4/G39</f>
        <v>-0.81110309436179062</v>
      </c>
    </row>
    <row r="27" spans="1:37">
      <c r="B27">
        <f>Y22</f>
        <v>2568285.0020479392</v>
      </c>
      <c r="D27" t="s">
        <v>263</v>
      </c>
      <c r="E27" t="s">
        <v>274</v>
      </c>
      <c r="F27" t="s">
        <v>358</v>
      </c>
      <c r="G27">
        <v>0.35</v>
      </c>
      <c r="L27" t="s">
        <v>338</v>
      </c>
      <c r="M27">
        <f>主翼細分計算!AQ3*空力安定性!G32-G14*G11*2*G25/G47</f>
        <v>-7.2755601589490793E-2</v>
      </c>
      <c r="S27" t="s">
        <v>409</v>
      </c>
      <c r="T27">
        <f>(T25+($G$41/$G$38)*T26)/(1-($G$41^2/$G$38/$G$39))</f>
        <v>-1626.1184536222431</v>
      </c>
    </row>
    <row r="28" spans="1:37">
      <c r="B28">
        <f>Y23</f>
        <v>11121.568433474247</v>
      </c>
      <c r="D28" t="s">
        <v>264</v>
      </c>
      <c r="E28" t="s">
        <v>273</v>
      </c>
      <c r="F28" t="s">
        <v>283</v>
      </c>
      <c r="G28">
        <f>主翼細分計算!E3</f>
        <v>0.21470432882352949</v>
      </c>
      <c r="S28" t="s">
        <v>410</v>
      </c>
      <c r="T28">
        <f>(T27+($G$41/$G$39)*T26)/(1-($G$41^2/$G$38/$G$39))</f>
        <v>-1627.9448841428341</v>
      </c>
    </row>
    <row r="29" spans="1:37">
      <c r="D29" t="s">
        <v>265</v>
      </c>
      <c r="E29" t="s">
        <v>272</v>
      </c>
      <c r="F29" t="s">
        <v>358</v>
      </c>
      <c r="G29">
        <f>G47^2/G36</f>
        <v>4.6511627906976738</v>
      </c>
      <c r="Q29" t="s">
        <v>458</v>
      </c>
      <c r="S29" t="s">
        <v>345</v>
      </c>
      <c r="T29">
        <f>M25*rho*G7*G36*G47/4/G37</f>
        <v>0.4883684620507136</v>
      </c>
    </row>
    <row r="30" spans="1:37">
      <c r="D30" t="s">
        <v>394</v>
      </c>
      <c r="E30" t="s">
        <v>395</v>
      </c>
      <c r="F30" t="s">
        <v>358</v>
      </c>
      <c r="G30">
        <f>尾翼計算!G15</f>
        <v>1.625</v>
      </c>
      <c r="Q30" t="s">
        <v>459</v>
      </c>
      <c r="S30" t="s">
        <v>346</v>
      </c>
      <c r="T30">
        <f>M26*rho*G7*G36*G47^2/4/G38</f>
        <v>19.805017718437767</v>
      </c>
    </row>
    <row r="31" spans="1:37">
      <c r="A31" t="e">
        <f>SUM(A32:A36)</f>
        <v>#REF!</v>
      </c>
      <c r="D31" t="s">
        <v>397</v>
      </c>
      <c r="E31" t="s">
        <v>396</v>
      </c>
      <c r="F31" t="s">
        <v>358</v>
      </c>
      <c r="G31">
        <f>尾翼計算!J15</f>
        <v>1.6666666666666667</v>
      </c>
      <c r="Q31" t="s">
        <v>460</v>
      </c>
      <c r="S31" t="s">
        <v>347</v>
      </c>
      <c r="T31">
        <f>M27*rho*G7*G36*G47^2/4/G39</f>
        <v>-4.0525472108169556</v>
      </c>
    </row>
    <row r="32" spans="1:37">
      <c r="A32">
        <f>8922*4/10^6*311.6</f>
        <v>11.1203808</v>
      </c>
      <c r="D32" t="s">
        <v>266</v>
      </c>
      <c r="E32" t="s">
        <v>271</v>
      </c>
      <c r="F32" t="s">
        <v>358</v>
      </c>
      <c r="G32">
        <f>0.2/0.5/rho/G7^2/G36</f>
        <v>8.9929674994154579E-2</v>
      </c>
      <c r="J32" t="s">
        <v>438</v>
      </c>
      <c r="S32" t="s">
        <v>411</v>
      </c>
      <c r="T32">
        <f>(T30+($G$41/$G$38)*T31)/(1-($G$41^2/$G$38/$G$39))</f>
        <v>20.020695358134418</v>
      </c>
    </row>
    <row r="33" spans="1:20">
      <c r="A33">
        <f>一般構造素材物性!I39*0.6</f>
        <v>6.24</v>
      </c>
      <c r="D33" t="s">
        <v>267</v>
      </c>
      <c r="E33" t="s">
        <v>270</v>
      </c>
      <c r="F33" t="s">
        <v>358</v>
      </c>
      <c r="G33">
        <f>G37/0.5/rho/G7^2/G36*9.8</f>
        <v>0.72708142232773976</v>
      </c>
      <c r="J33" t="s">
        <v>438</v>
      </c>
      <c r="S33" t="s">
        <v>412</v>
      </c>
      <c r="T33">
        <f>(T31+($G$41/$G$39)*T30)/(1-($G$41^2/$G$38/$G$39))</f>
        <v>-4.5292304336296798</v>
      </c>
    </row>
    <row r="34" spans="1:20">
      <c r="A34">
        <f>一般構造素材物性!I40*0.6</f>
        <v>3.7199999999999998</v>
      </c>
      <c r="J34" t="s">
        <v>445</v>
      </c>
    </row>
    <row r="35" spans="1:20">
      <c r="A35" t="e">
        <f>一般構造素材物性!H21*#REF!*2</f>
        <v>#REF!</v>
      </c>
      <c r="D35" t="s">
        <v>268</v>
      </c>
      <c r="E35" t="s">
        <v>269</v>
      </c>
      <c r="F35" t="s">
        <v>358</v>
      </c>
      <c r="G35">
        <v>0.25</v>
      </c>
    </row>
    <row r="36" spans="1:20">
      <c r="A36">
        <v>9.4212862549217018</v>
      </c>
      <c r="D36" t="s">
        <v>294</v>
      </c>
      <c r="E36" t="s">
        <v>295</v>
      </c>
      <c r="F36" t="s">
        <v>296</v>
      </c>
      <c r="G36">
        <f>(Python読み込み用データ!B3+Python読み込み用データ!B4)/2*Python読み込み用データ!B2/2+(Python読み込み用データ!B4+Python読み込み用データ!B5)/2*Python読み込み用データ!B2/2</f>
        <v>0.21500000000000002</v>
      </c>
      <c r="J36" t="s">
        <v>439</v>
      </c>
    </row>
    <row r="37" spans="1:20">
      <c r="D37" t="s">
        <v>297</v>
      </c>
      <c r="E37" t="s">
        <v>283</v>
      </c>
      <c r="F37" t="s">
        <v>298</v>
      </c>
      <c r="G37">
        <v>0.16500000000000001</v>
      </c>
      <c r="J37" t="s">
        <v>439</v>
      </c>
    </row>
    <row r="38" spans="1:20">
      <c r="D38" t="s">
        <v>301</v>
      </c>
      <c r="E38" t="s">
        <v>354</v>
      </c>
      <c r="F38" t="s">
        <v>304</v>
      </c>
      <c r="G38">
        <f>主翼細分計算!Q3</f>
        <v>2.4954297151535444E-3</v>
      </c>
    </row>
    <row r="39" spans="1:20">
      <c r="A39" t="s">
        <v>515</v>
      </c>
      <c r="D39" t="s">
        <v>302</v>
      </c>
      <c r="E39" t="s">
        <v>355</v>
      </c>
      <c r="F39" t="s">
        <v>304</v>
      </c>
      <c r="G39">
        <f>主翼細分計算!Q3*2</f>
        <v>4.9908594303070888E-3</v>
      </c>
      <c r="J39" t="s">
        <v>437</v>
      </c>
    </row>
    <row r="40" spans="1:20">
      <c r="D40" t="s">
        <v>303</v>
      </c>
      <c r="E40" t="s">
        <v>356</v>
      </c>
      <c r="F40" t="s">
        <v>304</v>
      </c>
      <c r="G40">
        <f>(主翼細分計算!Q3+主翼細分計算!R3)*10</f>
        <v>2.5583874962808131E-2</v>
      </c>
    </row>
    <row r="41" spans="1:20">
      <c r="D41" t="s">
        <v>353</v>
      </c>
      <c r="E41" t="s">
        <v>357</v>
      </c>
      <c r="F41" t="s">
        <v>304</v>
      </c>
      <c r="G41">
        <f>(G38+G39)/(-63)</f>
        <v>-1.1882998643588307E-4</v>
      </c>
      <c r="J41" t="s">
        <v>436</v>
      </c>
    </row>
    <row r="42" spans="1:20">
      <c r="D42" t="s">
        <v>543</v>
      </c>
      <c r="E42" t="s">
        <v>348</v>
      </c>
      <c r="F42" t="s">
        <v>350</v>
      </c>
      <c r="G42">
        <f>5/180*PI()</f>
        <v>8.7266462599716474E-2</v>
      </c>
      <c r="H42">
        <v>0</v>
      </c>
      <c r="I42">
        <v>0</v>
      </c>
      <c r="J42" t="s">
        <v>352</v>
      </c>
    </row>
    <row r="43" spans="1:20">
      <c r="D43" t="s">
        <v>542</v>
      </c>
      <c r="E43" t="s">
        <v>349</v>
      </c>
      <c r="F43" t="s">
        <v>350</v>
      </c>
      <c r="G43">
        <v>0</v>
      </c>
      <c r="H43">
        <v>0</v>
      </c>
      <c r="I43">
        <v>0</v>
      </c>
      <c r="J43" t="s">
        <v>352</v>
      </c>
    </row>
    <row r="44" spans="1:20">
      <c r="J44">
        <f>TAN(RADIANS(G44))*150</f>
        <v>0</v>
      </c>
    </row>
    <row r="45" spans="1:20">
      <c r="D45" t="s">
        <v>360</v>
      </c>
      <c r="E45" t="s">
        <v>361</v>
      </c>
      <c r="F45" t="s">
        <v>283</v>
      </c>
      <c r="G45">
        <v>0</v>
      </c>
      <c r="J45" t="s">
        <v>382</v>
      </c>
    </row>
    <row r="46" spans="1:20">
      <c r="D46" t="s">
        <v>363</v>
      </c>
      <c r="E46" t="s">
        <v>245</v>
      </c>
      <c r="G46">
        <v>0.8</v>
      </c>
    </row>
    <row r="47" spans="1:20">
      <c r="D47" t="s">
        <v>383</v>
      </c>
      <c r="E47" t="s">
        <v>244</v>
      </c>
      <c r="F47" t="s">
        <v>283</v>
      </c>
      <c r="G47">
        <f>Python読み込み用データ!B2</f>
        <v>1</v>
      </c>
    </row>
    <row r="52" spans="14:38">
      <c r="S52" t="s">
        <v>380</v>
      </c>
    </row>
    <row r="53" spans="14:38">
      <c r="S53" t="s">
        <v>325</v>
      </c>
      <c r="T53" t="s">
        <v>280</v>
      </c>
      <c r="U53" t="s">
        <v>281</v>
      </c>
      <c r="V53" t="s">
        <v>282</v>
      </c>
      <c r="W53" t="s">
        <v>381</v>
      </c>
      <c r="Y53" t="s">
        <v>372</v>
      </c>
      <c r="Z53" t="s">
        <v>280</v>
      </c>
      <c r="AA53" t="s">
        <v>281</v>
      </c>
      <c r="AB53" t="s">
        <v>282</v>
      </c>
      <c r="AD53" t="s">
        <v>324</v>
      </c>
      <c r="AK53" t="s">
        <v>322</v>
      </c>
    </row>
    <row r="54" spans="14:38">
      <c r="S54" t="s">
        <v>240</v>
      </c>
      <c r="T54">
        <v>-2.1499999999999998E-2</v>
      </c>
      <c r="W54" t="str">
        <f>IF(T54*T7&gt;0,"OK","NG")</f>
        <v>OK</v>
      </c>
      <c r="Y54" t="s">
        <v>311</v>
      </c>
      <c r="Z54">
        <v>1</v>
      </c>
      <c r="AA54">
        <v>1</v>
      </c>
      <c r="AB54">
        <v>1</v>
      </c>
      <c r="AD54" t="s">
        <v>317</v>
      </c>
      <c r="AE54" t="s">
        <v>315</v>
      </c>
      <c r="AF54" t="s">
        <v>314</v>
      </c>
      <c r="AG54" t="s">
        <v>313</v>
      </c>
      <c r="AH54" t="s">
        <v>312</v>
      </c>
      <c r="AI54" t="s">
        <v>311</v>
      </c>
    </row>
    <row r="55" spans="14:38">
      <c r="S55" t="s">
        <v>305</v>
      </c>
      <c r="T55">
        <v>-0.22700000000000001</v>
      </c>
      <c r="W55" t="str">
        <f>IF(T55*T8&gt;0,"OK","NG")</f>
        <v>OK</v>
      </c>
      <c r="Y55" t="s">
        <v>312</v>
      </c>
      <c r="Z55">
        <f>-T54-T58/G7-T63-(G44+T62)*T61/G7</f>
        <v>59.610300000000002</v>
      </c>
      <c r="AA55">
        <f>Z55</f>
        <v>59.610300000000002</v>
      </c>
      <c r="AB55">
        <f>Z55</f>
        <v>59.610300000000002</v>
      </c>
      <c r="AD55" t="s">
        <v>318</v>
      </c>
      <c r="AE55">
        <f>AA58</f>
        <v>2.1022470000000002</v>
      </c>
      <c r="AF55">
        <f>AA57</f>
        <v>2.2058663999999997</v>
      </c>
      <c r="AG55">
        <f>AB56</f>
        <v>59.088716199999993</v>
      </c>
      <c r="AH55">
        <f>AB55</f>
        <v>59.610300000000002</v>
      </c>
      <c r="AI55">
        <v>1</v>
      </c>
      <c r="AK55" t="s">
        <v>318</v>
      </c>
      <c r="AL55">
        <f>AF55*AG55*AH55-AF55*AF55-AE55*AH55*AH55</f>
        <v>294.74978839125015</v>
      </c>
    </row>
    <row r="56" spans="14:38">
      <c r="S56" t="s">
        <v>306</v>
      </c>
      <c r="T56">
        <v>0</v>
      </c>
      <c r="W56" t="str">
        <f>IF(T56*T9&gt;0,"OK","NG")</f>
        <v>NG</v>
      </c>
      <c r="Y56" t="s">
        <v>313</v>
      </c>
      <c r="Z56">
        <f>-(G7+T62)*(T60/G7-T54*T61/G7)-T55*T57/G7+T58/G7*T63+(T58/G7+T62)*T54</f>
        <v>59.088716199999993</v>
      </c>
      <c r="AA56">
        <f>Z56</f>
        <v>59.088716199999993</v>
      </c>
      <c r="AB56">
        <f>Z56</f>
        <v>59.088716199999993</v>
      </c>
      <c r="AD56" t="s">
        <v>319</v>
      </c>
      <c r="AE56">
        <f>AB58</f>
        <v>2.1022470000000002</v>
      </c>
      <c r="AF56">
        <f>AA57</f>
        <v>2.2058663999999997</v>
      </c>
      <c r="AG56">
        <f>AA56</f>
        <v>59.088716199999993</v>
      </c>
      <c r="AH56">
        <f>AB55</f>
        <v>59.610300000000002</v>
      </c>
      <c r="AI56">
        <v>1</v>
      </c>
      <c r="AK56" t="s">
        <v>319</v>
      </c>
      <c r="AL56">
        <f>AF56*AG56*AH56-AF56*AF56-AE56*AH56*AH56</f>
        <v>294.74978839125015</v>
      </c>
    </row>
    <row r="57" spans="14:38">
      <c r="S57" t="s">
        <v>308</v>
      </c>
      <c r="T57">
        <v>14.7</v>
      </c>
      <c r="W57" t="str">
        <f>IF(T57*T10&gt;0,"OK","NG")</f>
        <v>OK</v>
      </c>
      <c r="Y57" t="s">
        <v>314</v>
      </c>
      <c r="Z57">
        <f>(G7+T62)*(T54*T60/G7-T56*T57/G7)-(T54*T58/G7-T55*T57/G7)*T63+9.8*(T56+T55*T61/G7)</f>
        <v>2.2058663999999997</v>
      </c>
      <c r="AA57">
        <f>Z57</f>
        <v>2.2058663999999997</v>
      </c>
      <c r="AB57">
        <f>Z57</f>
        <v>2.2058663999999997</v>
      </c>
      <c r="AD57" t="s">
        <v>320</v>
      </c>
      <c r="AE57">
        <f>AB58</f>
        <v>2.1022470000000002</v>
      </c>
      <c r="AF57">
        <f>AB57</f>
        <v>2.2058663999999997</v>
      </c>
      <c r="AG57">
        <f>AA56</f>
        <v>59.088716199999993</v>
      </c>
      <c r="AH57">
        <f>AA55</f>
        <v>59.610300000000002</v>
      </c>
      <c r="AI57">
        <v>1</v>
      </c>
      <c r="AK57" t="s">
        <v>320</v>
      </c>
      <c r="AL57">
        <f>AF57*AG57*AH57-AF57*AF57-AE57*AH57*AH57</f>
        <v>294.74978839125015</v>
      </c>
    </row>
    <row r="58" spans="14:38">
      <c r="S58" t="s">
        <v>307</v>
      </c>
      <c r="T58">
        <v>-236</v>
      </c>
      <c r="W58" t="str">
        <f>IF(T58*T11&gt;0,"OK","NG")</f>
        <v>OK</v>
      </c>
      <c r="Y58" t="s">
        <v>315</v>
      </c>
      <c r="Z58">
        <f>9.8*(T55*T60/G7-T56*T58/G7)</f>
        <v>2.1022470000000002</v>
      </c>
      <c r="AA58">
        <f>Z58</f>
        <v>2.1022470000000002</v>
      </c>
      <c r="AB58">
        <f>Z58</f>
        <v>2.1022470000000002</v>
      </c>
      <c r="AD58" t="s">
        <v>321</v>
      </c>
      <c r="AE58">
        <f>AA58</f>
        <v>2.1022470000000002</v>
      </c>
      <c r="AF58">
        <f>AB57</f>
        <v>2.2058663999999997</v>
      </c>
      <c r="AG58">
        <f>AB56</f>
        <v>59.088716199999993</v>
      </c>
      <c r="AH58">
        <f>AA55</f>
        <v>59.610300000000002</v>
      </c>
      <c r="AI58">
        <v>1</v>
      </c>
      <c r="AK58" t="s">
        <v>321</v>
      </c>
      <c r="AL58">
        <f>AF58*AG58*AH58-AF58*AF58-AE58*AH58*AH58</f>
        <v>294.74978839125015</v>
      </c>
    </row>
    <row r="60" spans="14:38">
      <c r="S60" t="s">
        <v>309</v>
      </c>
      <c r="T60">
        <v>-3.78</v>
      </c>
      <c r="W60" t="str">
        <f>IF(T60*T13&gt;0,"OK","NG")</f>
        <v>OK</v>
      </c>
    </row>
    <row r="61" spans="14:38">
      <c r="S61" t="s">
        <v>367</v>
      </c>
      <c r="T61">
        <v>-0.28000000000000003</v>
      </c>
      <c r="W61" t="str">
        <f>IF(T61*T14&gt;0,"OK","NG")</f>
        <v>OK</v>
      </c>
    </row>
    <row r="62" spans="14:38">
      <c r="S62" t="s">
        <v>373</v>
      </c>
      <c r="T62">
        <v>-5.76</v>
      </c>
      <c r="W62" t="str">
        <f>IF(T62*T15&gt;0,"OK","NG")</f>
        <v>OK</v>
      </c>
    </row>
    <row r="63" spans="14:38">
      <c r="S63" t="s">
        <v>310</v>
      </c>
      <c r="T63">
        <v>-0.99199999999999999</v>
      </c>
      <c r="W63" t="str">
        <f>IF(T63*T16&gt;0,"OK","NG")</f>
        <v>OK</v>
      </c>
    </row>
    <row r="64" spans="14:38">
      <c r="N64">
        <v>0.25</v>
      </c>
      <c r="O64">
        <v>4</v>
      </c>
      <c r="W64" t="str">
        <f t="shared" ref="W64:W79" si="0">IF(T64*T18&gt;0,"OK","NG")</f>
        <v>NG</v>
      </c>
      <c r="Y64" t="s">
        <v>326</v>
      </c>
      <c r="Z64" t="s">
        <v>316</v>
      </c>
      <c r="AA64" t="s">
        <v>281</v>
      </c>
      <c r="AB64" t="s">
        <v>282</v>
      </c>
      <c r="AD64" t="s">
        <v>324</v>
      </c>
      <c r="AK64" t="s">
        <v>322</v>
      </c>
    </row>
    <row r="65" spans="12:38">
      <c r="L65" t="s">
        <v>413</v>
      </c>
      <c r="M65">
        <v>598.29999999999995</v>
      </c>
      <c r="N65">
        <f>M65</f>
        <v>598.29999999999995</v>
      </c>
      <c r="S65" t="s">
        <v>339</v>
      </c>
      <c r="T65">
        <v>-45.4</v>
      </c>
      <c r="W65" t="str">
        <f t="shared" si="0"/>
        <v>OK</v>
      </c>
      <c r="Y65" t="s">
        <v>311</v>
      </c>
      <c r="Z65">
        <v>1</v>
      </c>
      <c r="AA65">
        <v>1</v>
      </c>
      <c r="AB65">
        <v>1</v>
      </c>
      <c r="AD65" t="s">
        <v>317</v>
      </c>
      <c r="AE65" t="s">
        <v>315</v>
      </c>
      <c r="AF65" t="s">
        <v>314</v>
      </c>
      <c r="AG65" t="s">
        <v>313</v>
      </c>
      <c r="AH65" t="s">
        <v>312</v>
      </c>
      <c r="AI65" t="s">
        <v>311</v>
      </c>
    </row>
    <row r="66" spans="12:38">
      <c r="L66" t="s">
        <v>414</v>
      </c>
      <c r="M66">
        <v>398</v>
      </c>
      <c r="S66" t="s">
        <v>340</v>
      </c>
      <c r="T66">
        <v>-1.67</v>
      </c>
      <c r="W66" t="str">
        <f t="shared" si="0"/>
        <v>OK</v>
      </c>
      <c r="Y66" t="s">
        <v>312</v>
      </c>
      <c r="Z66">
        <f>-(T73+T79)-T70/G7</f>
        <v>0.99899999999999989</v>
      </c>
      <c r="AA66">
        <f>Z66</f>
        <v>0.99899999999999989</v>
      </c>
      <c r="AB66">
        <f>Z66</f>
        <v>0.99899999999999989</v>
      </c>
      <c r="AD66" t="s">
        <v>318</v>
      </c>
      <c r="AE66">
        <f>AA69</f>
        <v>0.41037990000000008</v>
      </c>
      <c r="AF66">
        <f>AA68</f>
        <v>7.9301922999999999</v>
      </c>
      <c r="AG66">
        <f>AB67</f>
        <v>14.470517999999998</v>
      </c>
      <c r="AH66">
        <f>AB66</f>
        <v>0.99899999999999989</v>
      </c>
      <c r="AI66">
        <v>1</v>
      </c>
      <c r="AK66" t="s">
        <v>318</v>
      </c>
      <c r="AL66">
        <f>AF66*AG66*AH66-AF66*AF66-AE66*AH66*AH66</f>
        <v>51.341726964631576</v>
      </c>
    </row>
    <row r="67" spans="12:38">
      <c r="L67" t="s">
        <v>415</v>
      </c>
      <c r="M67">
        <v>992.2</v>
      </c>
      <c r="S67" t="s">
        <v>341</v>
      </c>
      <c r="T67">
        <v>0.94299999999999995</v>
      </c>
      <c r="W67" t="str">
        <f t="shared" si="0"/>
        <v>OK</v>
      </c>
      <c r="Y67" t="s">
        <v>313</v>
      </c>
      <c r="Z67">
        <f>(T73*T79-T74*T78)+(T73+T79)*T65/G7+T69</f>
        <v>14.470517999999998</v>
      </c>
      <c r="AA67">
        <f>Z67</f>
        <v>14.470517999999998</v>
      </c>
      <c r="AB67">
        <f>Z67</f>
        <v>14.470517999999998</v>
      </c>
      <c r="AD67" t="s">
        <v>319</v>
      </c>
      <c r="AE67">
        <f>AB69</f>
        <v>0.41037990000000008</v>
      </c>
      <c r="AF67">
        <f>AA68</f>
        <v>7.9301922999999999</v>
      </c>
      <c r="AG67">
        <f>AA67</f>
        <v>14.470517999999998</v>
      </c>
      <c r="AH67">
        <f>AB66</f>
        <v>0.99899999999999989</v>
      </c>
      <c r="AI67">
        <v>1</v>
      </c>
      <c r="AK67" t="s">
        <v>319</v>
      </c>
      <c r="AL67">
        <f>AF67*AG67*AH67-AF67*AF67-AE67*AH67*AH67</f>
        <v>51.341726964631576</v>
      </c>
    </row>
    <row r="68" spans="12:38">
      <c r="L68" t="s">
        <v>357</v>
      </c>
      <c r="M68">
        <v>-25.16</v>
      </c>
      <c r="S68" t="s">
        <v>398</v>
      </c>
      <c r="T68">
        <v>-1.77</v>
      </c>
      <c r="W68" t="str">
        <f t="shared" si="0"/>
        <v>OK</v>
      </c>
      <c r="Y68" t="s">
        <v>314</v>
      </c>
      <c r="Z68">
        <f>-(T73*T79-T74*T78)*T65/G7+G7*(T68/G7*T74-T69/G7*T73)-9.8*T68/G7</f>
        <v>7.9301922999999999</v>
      </c>
      <c r="AA68">
        <f>Z68</f>
        <v>7.9301922999999999</v>
      </c>
      <c r="AB68">
        <f>Z68</f>
        <v>7.9301922999999999</v>
      </c>
      <c r="AD68" t="s">
        <v>320</v>
      </c>
      <c r="AE68">
        <f>AB69</f>
        <v>0.41037990000000008</v>
      </c>
      <c r="AF68">
        <f>AB68</f>
        <v>7.9301922999999999</v>
      </c>
      <c r="AG68">
        <f>AA67</f>
        <v>14.470517999999998</v>
      </c>
      <c r="AH68">
        <f>AA66</f>
        <v>0.99899999999999989</v>
      </c>
      <c r="AI68">
        <v>1</v>
      </c>
      <c r="AK68" t="s">
        <v>320</v>
      </c>
      <c r="AL68">
        <f>AF68*AG68*AH68-AF68*AF68-AE68*AH68*AH68</f>
        <v>51.341726964631576</v>
      </c>
    </row>
    <row r="69" spans="12:38">
      <c r="S69" t="s">
        <v>399</v>
      </c>
      <c r="T69">
        <v>0.876</v>
      </c>
      <c r="W69" t="str">
        <f t="shared" si="0"/>
        <v>OK</v>
      </c>
      <c r="Y69" t="s">
        <v>315</v>
      </c>
      <c r="Z69">
        <f>9.8*(T68/G7*T79-T69/G7*T78)</f>
        <v>0.41037990000000008</v>
      </c>
      <c r="AA69">
        <f>Z69</f>
        <v>0.41037990000000008</v>
      </c>
      <c r="AB69">
        <f>Z69</f>
        <v>0.41037990000000008</v>
      </c>
      <c r="AD69" t="s">
        <v>321</v>
      </c>
      <c r="AE69">
        <f>AA69</f>
        <v>0.41037990000000008</v>
      </c>
      <c r="AF69">
        <f>AB68</f>
        <v>7.9301922999999999</v>
      </c>
      <c r="AG69">
        <f>AB67</f>
        <v>14.470517999999998</v>
      </c>
      <c r="AH69">
        <f>AA66</f>
        <v>0.99899999999999989</v>
      </c>
      <c r="AI69">
        <v>1</v>
      </c>
      <c r="AK69" t="s">
        <v>321</v>
      </c>
      <c r="AL69">
        <f>AF69*AG69*AH69-AF69*AF69-AE69*AH69*AH69</f>
        <v>51.341726964631576</v>
      </c>
    </row>
    <row r="70" spans="12:38">
      <c r="S70" t="s">
        <v>342</v>
      </c>
      <c r="T70">
        <v>0.71599999999999997</v>
      </c>
      <c r="W70" t="str">
        <f t="shared" si="0"/>
        <v>NG</v>
      </c>
    </row>
    <row r="71" spans="12:38">
      <c r="S71" t="s">
        <v>343</v>
      </c>
      <c r="T71">
        <v>-0.96499999999999997</v>
      </c>
      <c r="W71" t="str">
        <f t="shared" si="0"/>
        <v>OK</v>
      </c>
    </row>
    <row r="72" spans="12:38">
      <c r="S72" t="s">
        <v>344</v>
      </c>
      <c r="T72">
        <v>-8.7599999999999997E-2</v>
      </c>
      <c r="W72" t="str">
        <f t="shared" si="0"/>
        <v>OK</v>
      </c>
    </row>
    <row r="73" spans="12:38">
      <c r="S73" t="s">
        <v>409</v>
      </c>
      <c r="T73">
        <v>-0.97299999999999998</v>
      </c>
      <c r="W73" t="str">
        <f t="shared" si="0"/>
        <v>OK</v>
      </c>
    </row>
    <row r="74" spans="12:38">
      <c r="S74" t="s">
        <v>410</v>
      </c>
      <c r="T74">
        <v>-0.111</v>
      </c>
      <c r="W74" t="str">
        <f t="shared" si="0"/>
        <v>OK</v>
      </c>
    </row>
    <row r="75" spans="12:38">
      <c r="S75" t="s">
        <v>345</v>
      </c>
      <c r="T75">
        <v>2.66</v>
      </c>
      <c r="W75" t="str">
        <f t="shared" si="0"/>
        <v>OK</v>
      </c>
    </row>
    <row r="76" spans="12:38">
      <c r="S76" t="s">
        <v>346</v>
      </c>
      <c r="T76">
        <v>0.26200000000000001</v>
      </c>
      <c r="W76" t="str">
        <f t="shared" si="0"/>
        <v>OK</v>
      </c>
    </row>
    <row r="77" spans="12:38">
      <c r="S77" t="s">
        <v>347</v>
      </c>
      <c r="T77">
        <v>-0.20799999999999999</v>
      </c>
      <c r="W77" t="str">
        <f t="shared" si="0"/>
        <v>OK</v>
      </c>
    </row>
    <row r="78" spans="12:38">
      <c r="S78" t="s">
        <v>411</v>
      </c>
      <c r="T78">
        <v>0.223</v>
      </c>
      <c r="W78" t="str">
        <f t="shared" si="0"/>
        <v>OK</v>
      </c>
    </row>
    <row r="79" spans="12:38">
      <c r="S79" t="s">
        <v>412</v>
      </c>
      <c r="T79">
        <v>-0.20499999999999999</v>
      </c>
      <c r="W79" t="str">
        <f t="shared" si="0"/>
        <v>OK</v>
      </c>
    </row>
  </sheetData>
  <mergeCells count="1">
    <mergeCell ref="A1:B2"/>
  </mergeCells>
  <phoneticPr fontId="45"/>
  <pageMargins left="0.7" right="0.7" top="0.75" bottom="0.75" header="0.3" footer="0.3"/>
  <pageSetup paperSize="9" orientation="portrait" horizontalDpi="4294967294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0000"/>
  </sheetPr>
  <dimension ref="A2:J50"/>
  <sheetViews>
    <sheetView zoomScaleNormal="100" workbookViewId="0">
      <selection activeCell="D23" sqref="D23"/>
    </sheetView>
  </sheetViews>
  <sheetFormatPr baseColWidth="10" defaultColWidth="8.83203125" defaultRowHeight="17"/>
  <cols>
    <col min="3" max="3" width="19" customWidth="1"/>
    <col min="4" max="4" width="12.6640625" bestFit="1" customWidth="1"/>
  </cols>
  <sheetData>
    <row r="2" spans="3:5">
      <c r="C2" s="16" t="s">
        <v>78</v>
      </c>
      <c r="D2" s="17">
        <f>MAX(荷重解析!A2:A217)</f>
        <v>0.5</v>
      </c>
    </row>
    <row r="3" spans="3:5">
      <c r="C3" s="16" t="s">
        <v>49</v>
      </c>
      <c r="D3" s="17">
        <v>0.45000000000000023</v>
      </c>
      <c r="E3">
        <v>0.45000000000000023</v>
      </c>
    </row>
    <row r="4" spans="3:5">
      <c r="C4" s="16" t="s">
        <v>50</v>
      </c>
      <c r="D4" s="17">
        <f>LOOKUP(D3,主翼細分計算!$A$7:$A$67,主翼細分計算!$AG$7:$AG$67)</f>
        <v>69.813170079773187</v>
      </c>
    </row>
    <row r="5" spans="3:5">
      <c r="C5" s="16" t="s">
        <v>58</v>
      </c>
      <c r="D5" s="17">
        <v>15</v>
      </c>
    </row>
    <row r="6" spans="3:5">
      <c r="C6" s="16" t="s">
        <v>51</v>
      </c>
      <c r="D6" s="17">
        <v>15</v>
      </c>
    </row>
    <row r="7" spans="3:5">
      <c r="C7" s="16" t="s">
        <v>62</v>
      </c>
      <c r="D7" s="17"/>
    </row>
    <row r="8" spans="3:5">
      <c r="C8" s="16" t="s">
        <v>52</v>
      </c>
      <c r="D8" s="17"/>
      <c r="E8">
        <v>0.6</v>
      </c>
    </row>
    <row r="9" spans="3:5">
      <c r="C9" s="16" t="s">
        <v>83</v>
      </c>
      <c r="D9" s="17"/>
    </row>
    <row r="10" spans="3:5">
      <c r="C10" s="16" t="s">
        <v>61</v>
      </c>
      <c r="D10" s="17"/>
    </row>
    <row r="11" spans="3:5">
      <c r="C11" s="16" t="s">
        <v>92</v>
      </c>
      <c r="D11" s="17" cm="1">
        <f t="array" ref="D11">SUM(ABS(主翼細分計算!AU7:AU67))</f>
        <v>9.7926476538599978</v>
      </c>
    </row>
    <row r="13" spans="3:5">
      <c r="C13" s="14" t="s">
        <v>66</v>
      </c>
      <c r="D13" s="6">
        <v>6</v>
      </c>
      <c r="E13" s="1"/>
    </row>
    <row r="14" spans="3:5">
      <c r="C14" s="14" t="s">
        <v>67</v>
      </c>
      <c r="D14" s="6">
        <v>1.5</v>
      </c>
      <c r="E14" s="1"/>
    </row>
    <row r="15" spans="3:5">
      <c r="C15" s="14" t="s">
        <v>68</v>
      </c>
      <c r="D15" s="6" t="e">
        <f>MIN(主翼細分計算!#REF!)</f>
        <v>#REF!</v>
      </c>
      <c r="E15" s="1"/>
    </row>
    <row r="16" spans="3:5">
      <c r="C16" s="15" t="s">
        <v>51</v>
      </c>
      <c r="D16" s="6" t="e">
        <f>DEGREES(ATAN(主翼細分計算!#REF!/主翼細分計算!#REF!))</f>
        <v>#REF!</v>
      </c>
    </row>
    <row r="18" spans="2:10">
      <c r="C18" s="13" t="s">
        <v>75</v>
      </c>
      <c r="D18" s="21">
        <v>100</v>
      </c>
    </row>
    <row r="19" spans="2:10">
      <c r="C19" s="18" t="s">
        <v>64</v>
      </c>
      <c r="D19" s="21">
        <f>SUM(主翼細分計算!M7:M89)*2</f>
        <v>6.1082118970994665</v>
      </c>
    </row>
    <row r="20" spans="2:10">
      <c r="C20" s="13" t="s">
        <v>76</v>
      </c>
      <c r="D20" s="21">
        <f>_xlfn.CEILING.MATH(D2*2/D18*1000)+1</f>
        <v>11</v>
      </c>
    </row>
    <row r="21" spans="2:10">
      <c r="B21" t="s">
        <v>87</v>
      </c>
      <c r="C21" s="19" t="s">
        <v>90</v>
      </c>
      <c r="D21" s="21">
        <f>D22/288/288</f>
        <v>5.8567239342206784E-2</v>
      </c>
      <c r="E21">
        <f>D21*一般構造素材物性!H13</f>
        <v>16.733496954916223</v>
      </c>
      <c r="G21">
        <f>2584.9105/0.26^2/10^6</f>
        <v>3.8238321005917154E-2</v>
      </c>
      <c r="H21">
        <f>G21*0.204^2</f>
        <v>1.591325966982248E-3</v>
      </c>
      <c r="I21">
        <f>H21*311.6</f>
        <v>0.49585717131166851</v>
      </c>
      <c r="J21">
        <f>I21*19</f>
        <v>9.4212862549217018</v>
      </c>
    </row>
    <row r="22" spans="2:10">
      <c r="C22" s="20" t="s">
        <v>79</v>
      </c>
      <c r="D22" s="21">
        <v>4857.8010999999997</v>
      </c>
      <c r="F22">
        <f>D19+D29+D34</f>
        <v>20.974739897099468</v>
      </c>
    </row>
    <row r="23" spans="2:10">
      <c r="C23" s="20" t="s">
        <v>80</v>
      </c>
      <c r="D23" s="21">
        <v>2</v>
      </c>
      <c r="F23" t="e">
        <f>F22/#REF!</f>
        <v>#REF!</v>
      </c>
    </row>
    <row r="24" spans="2:10">
      <c r="C24" s="20" t="s">
        <v>81</v>
      </c>
      <c r="D24" s="21">
        <f>D22*D23/10^9</f>
        <v>9.7156021999999993E-6</v>
      </c>
    </row>
    <row r="25" spans="2:10">
      <c r="C25" s="20" t="s">
        <v>77</v>
      </c>
      <c r="D25" s="21">
        <v>0.7</v>
      </c>
    </row>
    <row r="26" spans="2:10">
      <c r="C26" s="20" t="s">
        <v>82</v>
      </c>
      <c r="D26" s="21">
        <f>D25*D20</f>
        <v>7.6999999999999993</v>
      </c>
    </row>
    <row r="27" spans="2:10">
      <c r="C27" s="20"/>
      <c r="D27" s="21"/>
    </row>
    <row r="28" spans="2:10">
      <c r="C28" s="20" t="s">
        <v>85</v>
      </c>
      <c r="D28" s="21">
        <v>68.394000000000005</v>
      </c>
    </row>
    <row r="29" spans="2:10">
      <c r="C29" s="20" t="s">
        <v>84</v>
      </c>
      <c r="D29" s="21">
        <f>D28*D2*2/10^6*160*1000</f>
        <v>10.943040000000002</v>
      </c>
    </row>
    <row r="30" spans="2:10">
      <c r="C30" s="20"/>
      <c r="D30" s="21"/>
    </row>
    <row r="31" spans="2:10">
      <c r="C31" s="19" t="s">
        <v>89</v>
      </c>
      <c r="D31" s="21">
        <v>2.0365591836734693</v>
      </c>
    </row>
    <row r="32" spans="2:10">
      <c r="C32" s="19" t="s">
        <v>88</v>
      </c>
      <c r="D32" s="21">
        <f>D31*196</f>
        <v>399.16559999999998</v>
      </c>
    </row>
    <row r="33" spans="3:9">
      <c r="C33" s="19" t="s">
        <v>93</v>
      </c>
      <c r="D33" s="21">
        <v>24.521799999999999</v>
      </c>
    </row>
    <row r="34" spans="3:9">
      <c r="C34" s="19" t="s">
        <v>91</v>
      </c>
      <c r="D34" s="21">
        <f>D33/10^6*D2*2*160*1000</f>
        <v>3.9234880000000003</v>
      </c>
    </row>
    <row r="35" spans="3:9">
      <c r="C35" s="25" t="s">
        <v>109</v>
      </c>
      <c r="D35" s="21" t="e">
        <f>#REF!*2*一般構造素材物性!H22</f>
        <v>#REF!</v>
      </c>
    </row>
    <row r="36" spans="3:9">
      <c r="C36" s="43" t="s">
        <v>191</v>
      </c>
      <c r="D36" s="21" t="e">
        <f>(#REF!*0.035+D22/10^6*D20)*2*一般構造素材物性!H23</f>
        <v>#REF!</v>
      </c>
      <c r="E36" t="e">
        <f>D37+0.6</f>
        <v>#REF!</v>
      </c>
    </row>
    <row r="37" spans="3:9">
      <c r="C37" s="28" t="s">
        <v>115</v>
      </c>
      <c r="D37" s="21" t="e">
        <f>D19+D26+D34+D29+D35+D36</f>
        <v>#REF!</v>
      </c>
      <c r="E37">
        <v>51.1</v>
      </c>
      <c r="F37" t="e">
        <f>E36/E37</f>
        <v>#REF!</v>
      </c>
      <c r="H37" s="28" t="s">
        <v>115</v>
      </c>
      <c r="I37" s="21">
        <v>51.1</v>
      </c>
    </row>
    <row r="38" spans="3:9">
      <c r="C38" s="28" t="s">
        <v>116</v>
      </c>
      <c r="D38" s="21">
        <f>一般構造素材物性!J51+一般構造素材物性!J53+一般構造素材物性!J54+一般構造素材物性!J55*2+一般構造素材物性!J58</f>
        <v>99.499999999999986</v>
      </c>
      <c r="H38" s="53" t="s">
        <v>217</v>
      </c>
      <c r="I38" s="21">
        <f>一般構造素材物性!O51+一般構造素材物性!O53+一般構造素材物性!O54+一般構造素材物性!O55*2+一般構造素材物性!O58</f>
        <v>0</v>
      </c>
    </row>
    <row r="39" spans="3:9">
      <c r="C39" s="28" t="s">
        <v>117</v>
      </c>
      <c r="D39" s="21">
        <f>胴体設計!C12+一般構造素材物性!J56+一般構造素材物性!J59+一般構造素材物性!J58</f>
        <v>30.043530989515524</v>
      </c>
      <c r="E39" t="s">
        <v>213</v>
      </c>
      <c r="H39" s="28" t="s">
        <v>117</v>
      </c>
      <c r="I39" s="21">
        <v>89</v>
      </c>
    </row>
    <row r="40" spans="3:9">
      <c r="C40" s="30" t="s">
        <v>146</v>
      </c>
      <c r="D40" s="21">
        <f>尾翼計算!G21+尾翼計算!J21+尾翼計算!G24</f>
        <v>3</v>
      </c>
      <c r="H40" s="30" t="s">
        <v>146</v>
      </c>
      <c r="I40" s="21" t="e">
        <f>D40+#REF!</f>
        <v>#REF!</v>
      </c>
    </row>
    <row r="41" spans="3:9">
      <c r="C41" s="28" t="s">
        <v>86</v>
      </c>
      <c r="D41" s="21" t="e">
        <f>D37+D38+D39+D40</f>
        <v>#REF!</v>
      </c>
      <c r="E41">
        <f>E37+D38+D39+D40</f>
        <v>183.64353098951551</v>
      </c>
      <c r="H41" s="28" t="s">
        <v>86</v>
      </c>
      <c r="I41" s="21" t="e">
        <f>I37+I38+I39+I40</f>
        <v>#REF!</v>
      </c>
    </row>
    <row r="42" spans="3:9">
      <c r="C42" s="28" t="s">
        <v>110</v>
      </c>
      <c r="D42" s="21" t="e">
        <f>200-D41</f>
        <v>#REF!</v>
      </c>
      <c r="E42">
        <f>200-E41</f>
        <v>16.356469010484489</v>
      </c>
      <c r="H42" s="28" t="s">
        <v>110</v>
      </c>
      <c r="I42" s="21" t="e">
        <f>200-I41</f>
        <v>#REF!</v>
      </c>
    </row>
    <row r="46" spans="3:9">
      <c r="E46" t="s">
        <v>497</v>
      </c>
    </row>
    <row r="47" spans="3:9">
      <c r="E47" t="s">
        <v>498</v>
      </c>
    </row>
    <row r="50" spans="1:1">
      <c r="A50" s="1"/>
    </row>
  </sheetData>
  <phoneticPr fontId="45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結節点捜索">
                <anchor moveWithCells="1" sizeWithCells="1">
                  <from>
                    <xdr:col>0</xdr:col>
                    <xdr:colOff>114300</xdr:colOff>
                    <xdr:row>1</xdr:row>
                    <xdr:rowOff>190500</xdr:rowOff>
                  </from>
                  <to>
                    <xdr:col>1</xdr:col>
                    <xdr:colOff>571500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</vt:i4>
      </vt:variant>
    </vt:vector>
  </HeadingPairs>
  <TitlesOfParts>
    <vt:vector size="12" baseType="lpstr">
      <vt:lpstr>使用上の注意事項</vt:lpstr>
      <vt:lpstr>Python読み込み用データ</vt:lpstr>
      <vt:lpstr>速度感度</vt:lpstr>
      <vt:lpstr>荷重解析</vt:lpstr>
      <vt:lpstr>一般構造素材物性</vt:lpstr>
      <vt:lpstr>主翼細分計算</vt:lpstr>
      <vt:lpstr>Lavender</vt:lpstr>
      <vt:lpstr>胴体設計</vt:lpstr>
      <vt:lpstr>尾翼計算</vt:lpstr>
      <vt:lpstr>空力安定性</vt:lpstr>
      <vt:lpstr>プロパティ</vt:lpstr>
      <vt:lpstr>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ko-ko</dc:creator>
  <cp:lastModifiedBy>中村 亮介</cp:lastModifiedBy>
  <dcterms:created xsi:type="dcterms:W3CDTF">2015-06-05T18:19:34Z</dcterms:created>
  <dcterms:modified xsi:type="dcterms:W3CDTF">2022-10-03T09:49:24Z</dcterms:modified>
</cp:coreProperties>
</file>